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tit\Desktop\traffic 4\"/>
    </mc:Choice>
  </mc:AlternateContent>
  <xr:revisionPtr revIDLastSave="0" documentId="13_ncr:1_{322398A1-A105-4B57-A6DA-F46AE73BA1BC}" xr6:coauthVersionLast="38" xr6:coauthVersionMax="38" xr10:uidLastSave="{00000000-0000-0000-0000-000000000000}"/>
  <bookViews>
    <workbookView minimized="1" xWindow="0" yWindow="0" windowWidth="16410" windowHeight="7485" tabRatio="500" xr2:uid="{00000000-000D-0000-FFFF-FFFF00000000}"/>
  </bookViews>
  <sheets>
    <sheet name="UniformST" sheetId="1" r:id="rId1"/>
    <sheet name="Sheet1" sheetId="2" r:id="rId2"/>
  </sheets>
  <calcPr calcId="17902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D2" i="1"/>
  <c r="E2" i="1"/>
  <c r="G2" i="1"/>
  <c r="B3" i="1"/>
  <c r="D3" i="1"/>
  <c r="C2" i="1"/>
  <c r="F2" i="1"/>
  <c r="E3" i="1"/>
  <c r="G3" i="1"/>
  <c r="B4" i="1"/>
  <c r="D4" i="1"/>
  <c r="C3" i="1"/>
  <c r="F3" i="1"/>
  <c r="E4" i="1"/>
  <c r="G4" i="1"/>
  <c r="B5" i="1"/>
  <c r="D5" i="1"/>
  <c r="C4" i="1"/>
  <c r="F4" i="1"/>
  <c r="E5" i="1"/>
  <c r="G5" i="1"/>
  <c r="B6" i="1"/>
  <c r="D6" i="1"/>
  <c r="C5" i="1"/>
  <c r="F5" i="1"/>
  <c r="E6" i="1"/>
  <c r="G6" i="1"/>
  <c r="B7" i="1"/>
  <c r="D7" i="1"/>
  <c r="C6" i="1"/>
  <c r="F6" i="1"/>
  <c r="E7" i="1"/>
  <c r="G7" i="1"/>
  <c r="B8" i="1"/>
  <c r="D8" i="1"/>
  <c r="C7" i="1"/>
  <c r="F7" i="1"/>
  <c r="E8" i="1"/>
  <c r="G8" i="1"/>
  <c r="B9" i="1"/>
  <c r="D9" i="1"/>
  <c r="C8" i="1"/>
  <c r="F8" i="1"/>
  <c r="E9" i="1"/>
  <c r="G9" i="1"/>
  <c r="B10" i="1"/>
  <c r="D10" i="1"/>
  <c r="C9" i="1"/>
  <c r="F9" i="1"/>
  <c r="E10" i="1"/>
  <c r="G10" i="1"/>
  <c r="B11" i="1"/>
  <c r="D11" i="1"/>
  <c r="C10" i="1"/>
  <c r="F10" i="1"/>
  <c r="E11" i="1"/>
  <c r="G11" i="1"/>
  <c r="B12" i="1"/>
  <c r="D12" i="1"/>
  <c r="C11" i="1"/>
  <c r="F11" i="1"/>
  <c r="E12" i="1"/>
  <c r="G12" i="1"/>
  <c r="B13" i="1"/>
  <c r="D13" i="1"/>
  <c r="C12" i="1"/>
  <c r="F12" i="1"/>
  <c r="E13" i="1"/>
  <c r="G13" i="1"/>
  <c r="B14" i="1"/>
  <c r="D14" i="1"/>
  <c r="C13" i="1"/>
  <c r="F13" i="1"/>
  <c r="E14" i="1"/>
  <c r="G14" i="1"/>
  <c r="B15" i="1"/>
  <c r="D15" i="1"/>
  <c r="C14" i="1"/>
  <c r="F14" i="1"/>
  <c r="E15" i="1"/>
  <c r="G15" i="1"/>
  <c r="B16" i="1"/>
  <c r="D16" i="1"/>
  <c r="C15" i="1"/>
  <c r="F15" i="1"/>
  <c r="E16" i="1"/>
  <c r="G16" i="1"/>
  <c r="B17" i="1"/>
  <c r="D17" i="1"/>
  <c r="C16" i="1"/>
  <c r="F16" i="1"/>
  <c r="E17" i="1"/>
  <c r="G17" i="1"/>
  <c r="B18" i="1"/>
  <c r="D18" i="1"/>
  <c r="C17" i="1"/>
  <c r="F17" i="1"/>
  <c r="E18" i="1"/>
  <c r="G18" i="1"/>
  <c r="B19" i="1"/>
  <c r="D19" i="1"/>
  <c r="C18" i="1"/>
  <c r="F18" i="1"/>
  <c r="E19" i="1"/>
  <c r="G19" i="1"/>
  <c r="B20" i="1"/>
  <c r="D20" i="1"/>
  <c r="C19" i="1"/>
  <c r="F19" i="1"/>
  <c r="E20" i="1"/>
  <c r="G20" i="1"/>
  <c r="B21" i="1"/>
  <c r="D21" i="1"/>
  <c r="C20" i="1"/>
  <c r="F20" i="1"/>
  <c r="E21" i="1"/>
  <c r="G21" i="1"/>
  <c r="B22" i="1"/>
  <c r="D22" i="1"/>
  <c r="C21" i="1"/>
  <c r="F21" i="1"/>
  <c r="E22" i="1"/>
  <c r="G22" i="1"/>
  <c r="B23" i="1"/>
  <c r="D23" i="1"/>
  <c r="C22" i="1"/>
  <c r="F22" i="1"/>
  <c r="E23" i="1"/>
  <c r="G23" i="1"/>
  <c r="B24" i="1"/>
  <c r="D24" i="1"/>
  <c r="C23" i="1"/>
  <c r="F23" i="1"/>
  <c r="E24" i="1"/>
  <c r="G24" i="1"/>
  <c r="B25" i="1"/>
  <c r="D25" i="1"/>
  <c r="C24" i="1"/>
  <c r="F24" i="1"/>
  <c r="E25" i="1"/>
  <c r="G25" i="1"/>
  <c r="B26" i="1"/>
  <c r="D26" i="1"/>
  <c r="C25" i="1"/>
  <c r="F25" i="1"/>
  <c r="E26" i="1"/>
  <c r="G26" i="1"/>
  <c r="B27" i="1"/>
  <c r="D27" i="1"/>
  <c r="C26" i="1"/>
  <c r="F26" i="1"/>
  <c r="E27" i="1"/>
  <c r="G27" i="1"/>
  <c r="B28" i="1"/>
  <c r="D28" i="1"/>
  <c r="C27" i="1"/>
  <c r="F27" i="1"/>
  <c r="E28" i="1"/>
  <c r="G28" i="1"/>
  <c r="B29" i="1"/>
  <c r="D29" i="1"/>
  <c r="C28" i="1"/>
  <c r="F28" i="1"/>
  <c r="E29" i="1"/>
  <c r="G29" i="1"/>
  <c r="B30" i="1"/>
  <c r="D30" i="1"/>
  <c r="C29" i="1"/>
  <c r="F29" i="1"/>
  <c r="E30" i="1"/>
  <c r="G30" i="1"/>
  <c r="G31" i="1"/>
  <c r="H2" i="1"/>
  <c r="I2" i="2"/>
  <c r="C30" i="1"/>
  <c r="F30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" i="1"/>
  <c r="T2" i="1"/>
  <c r="R3" i="1"/>
  <c r="I2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K2" i="1"/>
  <c r="L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N2" i="1"/>
  <c r="O2" i="1"/>
  <c r="K3" i="1"/>
  <c r="R2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P2" i="1"/>
</calcChain>
</file>

<file path=xl/sharedStrings.xml><?xml version="1.0" encoding="utf-8"?>
<sst xmlns="http://schemas.openxmlformats.org/spreadsheetml/2006/main" count="41" uniqueCount="19">
  <si>
    <t>Agent ID</t>
  </si>
  <si>
    <t>Interarrival Time/second</t>
  </si>
  <si>
    <t>Service Time Duration/second</t>
  </si>
  <si>
    <t>Arrival Time</t>
  </si>
  <si>
    <t>Service Start Time</t>
  </si>
  <si>
    <t>Service End Time</t>
  </si>
  <si>
    <t>Waiting Time in Queue/second</t>
  </si>
  <si>
    <t>Max_WT</t>
  </si>
  <si>
    <t>Aver_WT</t>
  </si>
  <si>
    <t>#of Agent in queue</t>
  </si>
  <si>
    <t>Aver</t>
  </si>
  <si>
    <t>Max</t>
  </si>
  <si>
    <t>Cycle Time</t>
  </si>
  <si>
    <t>Server Utilization Rate</t>
  </si>
  <si>
    <t>arrival_second</t>
  </si>
  <si>
    <t>N_arrival</t>
  </si>
  <si>
    <t>departure_second</t>
  </si>
  <si>
    <t>N_departure</t>
  </si>
  <si>
    <t>Total 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</si>
</sst>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3">
    <font>
      <sz val="12"/>
      <color theme="1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81"/>
  <sheetViews>
    <sheetView tabSelected="1" workbookViewId="0">
      <pane ySplit="1" topLeftCell="A17" activePane="bottomLeft" state="frozen"/>
      <selection pane="bottomLeft" activeCell="G32" sqref="G32"/>
    </sheetView>
  </sheetViews>
  <sheetFormatPr defaultColWidth="11.25" defaultRowHeight="15.75"/>
  <cols>
    <col min="1" max="1" width="8.25" bestFit="1" customWidth="1"/>
    <col min="2" max="2" width="21.25" bestFit="1" customWidth="1"/>
    <col min="3" max="3" width="25.75" bestFit="1" customWidth="1"/>
    <col min="4" max="4" width="11" bestFit="1" customWidth="1"/>
    <col min="5" max="5" width="16" bestFit="1" customWidth="1"/>
    <col min="6" max="6" width="15.25" bestFit="1" customWidth="1"/>
    <col min="7" max="7" width="26.5" bestFit="1" customWidth="1"/>
    <col min="8" max="8" width="8.5" bestFit="1" customWidth="1"/>
    <col min="9" max="9" width="8.75" bestFit="1" customWidth="1"/>
    <col min="10" max="10" width="16.75" bestFit="1" customWidth="1"/>
    <col min="11" max="11" width="12.25" bestFit="1" customWidth="1"/>
    <col min="12" max="12" width="4.75" bestFit="1" customWidth="1"/>
    <col min="13" max="13" width="12.25" bestFit="1" customWidth="1"/>
    <col min="14" max="14" width="5" bestFit="1" customWidth="1"/>
    <col min="15" max="15" width="4.75" bestFit="1" customWidth="1"/>
    <col min="16" max="16" width="19.25" bestFit="1" customWidth="1"/>
    <col min="17" max="17" width="13.25" bestFit="1" customWidth="1"/>
    <col min="19" max="19" width="16.25" bestFit="1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10</v>
      </c>
      <c r="O1" t="s">
        <v>11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>
      <c r="A2">
        <v>1</v>
      </c>
      <c r="B2" s="1">
        <f ca="1">-LN(1-RAND())*(1/0.3)</f>
        <v>6.9888945403911551</v>
      </c>
      <c r="C2" s="4">
        <f ca="1">RANDBETWEEN(150,270)/60</f>
        <v>3.9333333333333331</v>
      </c>
      <c r="D2" s="1">
        <f ca="1">B2</f>
        <v>6.9888945403911551</v>
      </c>
      <c r="E2" s="1">
        <f ca="1">D2</f>
        <v>6.9888945403911551</v>
      </c>
      <c r="F2" s="1">
        <f t="shared" ref="F2:F30" ca="1" si="0">E2+C2</f>
        <v>10.922227873724488</v>
      </c>
      <c r="G2">
        <f t="shared" ref="G2:G30" ca="1" si="1">E2-D2</f>
        <v>0</v>
      </c>
      <c r="H2" s="1">
        <f ca="1">MAX(G2:G30)</f>
        <v>21.918117354544449</v>
      </c>
      <c r="I2" s="1">
        <f ca="1">AVERAGE(G2:G481)</f>
        <v>13.461595866821812</v>
      </c>
      <c r="J2" s="2">
        <f ca="1">COUNTIF(E2,"&lt;"&amp;D2)</f>
        <v>0</v>
      </c>
      <c r="K2">
        <f ca="1">SUM(J2:J481)/COUNTIF(J2:J481,"&gt;"&amp;0)</f>
        <v>2.8076923076923075</v>
      </c>
      <c r="L2" s="2">
        <f ca="1">MAX(J2:J481)</f>
        <v>7</v>
      </c>
      <c r="M2" s="1">
        <f ca="1">F2-D2</f>
        <v>3.9333333333333327</v>
      </c>
      <c r="N2" s="2">
        <f ca="1">AVERAGE(M2:M481)</f>
        <v>10.304848436861858</v>
      </c>
      <c r="O2" s="2">
        <f ca="1">MAX(M2:M481)</f>
        <v>25.168117354544449</v>
      </c>
      <c r="P2" s="3">
        <f ca="1">COUNTIF(G2:G481,"&lt;&gt;"&amp;0)/COUNT(G2:G481)</f>
        <v>15.9</v>
      </c>
      <c r="Q2">
        <v>0</v>
      </c>
      <c r="R2" s="2">
        <f ca="1">COUNTIF($D$2:$D$481,"&lt;"&amp;Q2)</f>
        <v>0</v>
      </c>
      <c r="S2">
        <v>0</v>
      </c>
      <c r="T2" s="2">
        <f ca="1">COUNTIF($F$2:$F$481,"&lt;"&amp;S2)</f>
        <v>0</v>
      </c>
    </row>
    <row r="3" spans="1:20">
      <c r="A3">
        <v>2</v>
      </c>
      <c r="B3" s="1">
        <f t="shared" ref="B3:B30" ca="1" si="2">-LN(1-RAND())*(1/0.3)</f>
        <v>1.9041546104925016</v>
      </c>
      <c r="C3" s="4">
        <f t="shared" ref="C3:C30" ca="1" si="3">RANDBETWEEN(150,270)/60</f>
        <v>2.7166666666666668</v>
      </c>
      <c r="D3" s="1">
        <f ca="1">D2+B3</f>
        <v>8.8930491508836571</v>
      </c>
      <c r="E3" s="1">
        <f t="shared" ref="E3:E29" ca="1" si="4">MAX(D3,F2)</f>
        <v>10.922227873724488</v>
      </c>
      <c r="F3" s="1">
        <f ca="1">E3+C3</f>
        <v>13.638894540391155</v>
      </c>
      <c r="G3" s="1">
        <f t="shared" ca="1" si="1"/>
        <v>2.0291787228408307</v>
      </c>
      <c r="J3" s="2">
        <f ca="1">COUNTIF($E$2:E3,"&gt;"&amp;D3)</f>
        <v>1</v>
      </c>
      <c r="K3">
        <f ca="1">COUNTIF(J2:J481,"&gt;"&amp;0)</f>
        <v>26</v>
      </c>
      <c r="M3">
        <f ca="1">F3-D3</f>
        <v>4.7458453895074975</v>
      </c>
      <c r="Q3">
        <v>60</v>
      </c>
      <c r="R3" s="2">
        <f ca="1">COUNTIF($D$2:$D$481,"&lt;"&amp;Q3)</f>
        <v>16</v>
      </c>
      <c r="S3">
        <v>60</v>
      </c>
      <c r="T3" s="2">
        <f ca="1">COUNTIF($F$2:$F$481,"&lt;"&amp;S3)</f>
        <v>15</v>
      </c>
    </row>
    <row r="4" spans="1:20">
      <c r="A4">
        <v>3</v>
      </c>
      <c r="B4" s="1">
        <f t="shared" ca="1" si="2"/>
        <v>1.6232905039495007</v>
      </c>
      <c r="C4" s="4">
        <f t="shared" ca="1" si="3"/>
        <v>4.0666666666666664</v>
      </c>
      <c r="D4" s="1">
        <f t="shared" ref="D4:D30" ca="1" si="5">D3+B4</f>
        <v>10.516339654833157</v>
      </c>
      <c r="E4" s="1">
        <f t="shared" ca="1" si="4"/>
        <v>13.638894540391155</v>
      </c>
      <c r="F4" s="1">
        <f t="shared" ca="1" si="0"/>
        <v>17.705561207057819</v>
      </c>
      <c r="G4" s="1">
        <f t="shared" ca="1" si="1"/>
        <v>3.1225548855579977</v>
      </c>
      <c r="J4" s="2">
        <f ca="1">COUNTIF($E$2:E4,"&gt;"&amp;D4)</f>
        <v>2</v>
      </c>
      <c r="M4">
        <f ca="1">F4-D4</f>
        <v>7.1892215522246623</v>
      </c>
      <c r="Q4">
        <v>120</v>
      </c>
      <c r="R4" s="2">
        <f t="shared" ref="R4:R30" ca="1" si="6">COUNTIF($D$2:$D$481,"&lt;"&amp;Q4)</f>
        <v>29</v>
      </c>
      <c r="S4">
        <v>120</v>
      </c>
      <c r="T4" s="2">
        <f t="shared" ref="T4:T30" ca="1" si="7">COUNTIF($F$2:$F$481,"&lt;"&amp;S4)</f>
        <v>29</v>
      </c>
    </row>
    <row r="5" spans="1:20">
      <c r="A5">
        <v>4</v>
      </c>
      <c r="B5" s="1">
        <f t="shared" ca="1" si="2"/>
        <v>3.6444370272506341</v>
      </c>
      <c r="C5" s="4">
        <f t="shared" ca="1" si="3"/>
        <v>3.25</v>
      </c>
      <c r="D5" s="1">
        <f t="shared" ca="1" si="5"/>
        <v>14.160776682083791</v>
      </c>
      <c r="E5" s="1">
        <f t="shared" ca="1" si="4"/>
        <v>17.705561207057819</v>
      </c>
      <c r="F5" s="1">
        <f t="shared" ca="1" si="0"/>
        <v>20.955561207057819</v>
      </c>
      <c r="G5" s="1">
        <f t="shared" ca="1" si="1"/>
        <v>3.5447845249740286</v>
      </c>
      <c r="J5" s="2">
        <f ca="1">COUNTIF($E$2:E5,"&gt;"&amp;D5)</f>
        <v>1</v>
      </c>
      <c r="M5">
        <f ca="1">F5-D5</f>
        <v>6.7947845249740286</v>
      </c>
      <c r="Q5">
        <v>180</v>
      </c>
      <c r="R5" s="2">
        <f t="shared" ca="1" si="6"/>
        <v>29</v>
      </c>
      <c r="S5">
        <v>180</v>
      </c>
      <c r="T5" s="2">
        <f t="shared" ca="1" si="7"/>
        <v>29</v>
      </c>
    </row>
    <row r="6" spans="1:20">
      <c r="A6">
        <v>5</v>
      </c>
      <c r="B6" s="1">
        <f t="shared" ca="1" si="2"/>
        <v>6.5395894299637645</v>
      </c>
      <c r="C6" s="4">
        <f t="shared" ca="1" si="3"/>
        <v>2.65</v>
      </c>
      <c r="D6" s="1">
        <f t="shared" ca="1" si="5"/>
        <v>20.700366112047554</v>
      </c>
      <c r="E6" s="1">
        <f t="shared" ca="1" si="4"/>
        <v>20.955561207057819</v>
      </c>
      <c r="F6" s="1">
        <f t="shared" ca="1" si="0"/>
        <v>23.605561207057818</v>
      </c>
      <c r="G6" s="1">
        <f t="shared" ca="1" si="1"/>
        <v>0.25519509501026505</v>
      </c>
      <c r="J6" s="2">
        <f ca="1">COUNTIF($E$2:E6,"&gt;"&amp;D6)</f>
        <v>1</v>
      </c>
      <c r="M6">
        <f ca="1">F6-D6</f>
        <v>2.9051950950102636</v>
      </c>
      <c r="Q6">
        <v>240</v>
      </c>
      <c r="R6" s="2">
        <f t="shared" ca="1" si="6"/>
        <v>29</v>
      </c>
      <c r="S6">
        <v>240</v>
      </c>
      <c r="T6" s="2">
        <f t="shared" ca="1" si="7"/>
        <v>29</v>
      </c>
    </row>
    <row r="7" spans="1:20">
      <c r="A7">
        <v>6</v>
      </c>
      <c r="B7" s="1">
        <f t="shared" ca="1" si="2"/>
        <v>2.770370197261339</v>
      </c>
      <c r="C7" s="4">
        <f t="shared" ca="1" si="3"/>
        <v>3.2666666666666666</v>
      </c>
      <c r="D7" s="1">
        <f t="shared" ca="1" si="5"/>
        <v>23.470736309308894</v>
      </c>
      <c r="E7" s="1">
        <f t="shared" ca="1" si="4"/>
        <v>23.605561207057818</v>
      </c>
      <c r="F7" s="1">
        <f t="shared" ca="1" si="0"/>
        <v>26.872227873724484</v>
      </c>
      <c r="G7" s="1">
        <f t="shared" ca="1" si="1"/>
        <v>0.13482489774892414</v>
      </c>
      <c r="J7" s="2">
        <f ca="1">COUNTIF($E$2:E7,"&gt;"&amp;D7)</f>
        <v>1</v>
      </c>
      <c r="M7">
        <f ca="1">F7-D7</f>
        <v>3.4014915644155899</v>
      </c>
      <c r="Q7">
        <v>300</v>
      </c>
      <c r="R7" s="2">
        <f t="shared" ca="1" si="6"/>
        <v>29</v>
      </c>
      <c r="S7">
        <v>300</v>
      </c>
      <c r="T7" s="2">
        <f t="shared" ca="1" si="7"/>
        <v>29</v>
      </c>
    </row>
    <row r="8" spans="1:20">
      <c r="A8">
        <v>7</v>
      </c>
      <c r="B8" s="1">
        <f t="shared" ca="1" si="2"/>
        <v>0.58458644143612726</v>
      </c>
      <c r="C8" s="4">
        <f t="shared" ca="1" si="3"/>
        <v>2.9666666666666668</v>
      </c>
      <c r="D8" s="1">
        <f t="shared" ca="1" si="5"/>
        <v>24.05532275074502</v>
      </c>
      <c r="E8" s="1">
        <f t="shared" ca="1" si="4"/>
        <v>26.872227873724484</v>
      </c>
      <c r="F8" s="1">
        <f t="shared" ca="1" si="0"/>
        <v>29.838894540391152</v>
      </c>
      <c r="G8" s="1">
        <f t="shared" ca="1" si="1"/>
        <v>2.8169051229794633</v>
      </c>
      <c r="J8" s="2">
        <f ca="1">COUNTIF($E$2:E8,"&gt;"&amp;D8)</f>
        <v>1</v>
      </c>
      <c r="M8">
        <f ca="1">F8-D8</f>
        <v>5.7835717896461318</v>
      </c>
      <c r="Q8">
        <v>360</v>
      </c>
      <c r="R8" s="2">
        <f t="shared" ca="1" si="6"/>
        <v>29</v>
      </c>
      <c r="S8">
        <v>360</v>
      </c>
      <c r="T8" s="2">
        <f t="shared" ca="1" si="7"/>
        <v>29</v>
      </c>
    </row>
    <row r="9" spans="1:20">
      <c r="A9">
        <v>8</v>
      </c>
      <c r="B9" s="1">
        <f t="shared" ca="1" si="2"/>
        <v>1.7799407774505243</v>
      </c>
      <c r="C9" s="4">
        <f t="shared" ca="1" si="3"/>
        <v>3.2</v>
      </c>
      <c r="D9" s="1">
        <f t="shared" ca="1" si="5"/>
        <v>25.835263528195544</v>
      </c>
      <c r="E9" s="1">
        <f t="shared" ca="1" si="4"/>
        <v>29.838894540391152</v>
      </c>
      <c r="F9" s="1">
        <f t="shared" ca="1" si="0"/>
        <v>33.038894540391155</v>
      </c>
      <c r="G9" s="1">
        <f t="shared" ca="1" si="1"/>
        <v>4.0036310121956085</v>
      </c>
      <c r="J9" s="2">
        <f ca="1">COUNTIF($E$2:E9,"&gt;"&amp;D9)</f>
        <v>2</v>
      </c>
      <c r="M9">
        <f ca="1">F9-D9</f>
        <v>7.2036310121956113</v>
      </c>
      <c r="Q9">
        <v>420</v>
      </c>
      <c r="R9" s="2">
        <f t="shared" ca="1" si="6"/>
        <v>29</v>
      </c>
      <c r="S9">
        <v>420</v>
      </c>
      <c r="T9" s="2">
        <f t="shared" ca="1" si="7"/>
        <v>29</v>
      </c>
    </row>
    <row r="10" spans="1:20">
      <c r="A10">
        <v>9</v>
      </c>
      <c r="B10" s="1">
        <f t="shared" ca="1" si="2"/>
        <v>3.2018102167572948</v>
      </c>
      <c r="C10" s="4">
        <f t="shared" ca="1" si="3"/>
        <v>3.0333333333333332</v>
      </c>
      <c r="D10" s="1">
        <f t="shared" ca="1" si="5"/>
        <v>29.037073744952838</v>
      </c>
      <c r="E10" s="1">
        <f t="shared" ca="1" si="4"/>
        <v>33.038894540391155</v>
      </c>
      <c r="F10" s="1">
        <f t="shared" ca="1" si="0"/>
        <v>36.072227873724486</v>
      </c>
      <c r="G10" s="1">
        <f t="shared" ca="1" si="1"/>
        <v>4.0018207954383165</v>
      </c>
      <c r="J10" s="2">
        <f ca="1">COUNTIF($E$2:E10,"&gt;"&amp;D10)</f>
        <v>2</v>
      </c>
      <c r="M10">
        <f ca="1">F10-D10</f>
        <v>7.0351541287716479</v>
      </c>
      <c r="Q10">
        <v>480</v>
      </c>
      <c r="R10" s="2">
        <f t="shared" ca="1" si="6"/>
        <v>29</v>
      </c>
      <c r="S10">
        <v>480</v>
      </c>
      <c r="T10" s="2">
        <f t="shared" ca="1" si="7"/>
        <v>29</v>
      </c>
    </row>
    <row r="11" spans="1:20">
      <c r="A11">
        <v>10</v>
      </c>
      <c r="B11" s="1">
        <f t="shared" ca="1" si="2"/>
        <v>1.1514314727624837</v>
      </c>
      <c r="C11" s="4">
        <f t="shared" ca="1" si="3"/>
        <v>4.3166666666666664</v>
      </c>
      <c r="D11" s="1">
        <f t="shared" ca="1" si="5"/>
        <v>30.188505217715321</v>
      </c>
      <c r="E11" s="1">
        <f t="shared" ca="1" si="4"/>
        <v>36.072227873724486</v>
      </c>
      <c r="F11" s="1">
        <f t="shared" ca="1" si="0"/>
        <v>40.388894540391149</v>
      </c>
      <c r="G11" s="1">
        <f t="shared" ca="1" si="1"/>
        <v>5.8837226560091658</v>
      </c>
      <c r="J11" s="2">
        <f ca="1">COUNTIF($E$2:E11,"&gt;"&amp;D11)</f>
        <v>2</v>
      </c>
      <c r="M11" s="1">
        <f ca="1">F11-D11</f>
        <v>10.200389322675829</v>
      </c>
      <c r="Q11">
        <v>540</v>
      </c>
      <c r="R11" s="2">
        <f t="shared" ca="1" si="6"/>
        <v>29</v>
      </c>
      <c r="S11">
        <v>540</v>
      </c>
      <c r="T11" s="2">
        <f t="shared" ca="1" si="7"/>
        <v>29</v>
      </c>
    </row>
    <row r="12" spans="1:20">
      <c r="A12">
        <v>11</v>
      </c>
      <c r="B12" s="1">
        <f t="shared" ca="1" si="2"/>
        <v>0.42971150553717335</v>
      </c>
      <c r="C12" s="4">
        <f t="shared" ca="1" si="3"/>
        <v>4.416666666666667</v>
      </c>
      <c r="D12" s="1">
        <f t="shared" ca="1" si="5"/>
        <v>30.618216723252495</v>
      </c>
      <c r="E12" s="1">
        <f t="shared" ca="1" si="4"/>
        <v>40.388894540391149</v>
      </c>
      <c r="F12" s="1">
        <f t="shared" ca="1" si="0"/>
        <v>44.805561207057814</v>
      </c>
      <c r="G12" s="1">
        <f t="shared" ca="1" si="1"/>
        <v>9.7706778171386546</v>
      </c>
      <c r="J12" s="2">
        <f ca="1">COUNTIF($E$2:E12,"&gt;"&amp;D12)</f>
        <v>3</v>
      </c>
      <c r="M12" s="1">
        <f ca="1">F12-D12</f>
        <v>14.187344483805319</v>
      </c>
      <c r="Q12">
        <v>600</v>
      </c>
      <c r="R12" s="2">
        <f t="shared" ca="1" si="6"/>
        <v>29</v>
      </c>
      <c r="S12">
        <v>600</v>
      </c>
      <c r="T12" s="2">
        <f t="shared" ca="1" si="7"/>
        <v>29</v>
      </c>
    </row>
    <row r="13" spans="1:20">
      <c r="A13">
        <v>12</v>
      </c>
      <c r="B13" s="1">
        <f t="shared" ca="1" si="2"/>
        <v>2.7186245619346159</v>
      </c>
      <c r="C13" s="4">
        <f t="shared" ca="1" si="3"/>
        <v>3.1166666666666667</v>
      </c>
      <c r="D13" s="1">
        <f t="shared" ca="1" si="5"/>
        <v>33.336841285187113</v>
      </c>
      <c r="E13" s="1">
        <f t="shared" ca="1" si="4"/>
        <v>44.805561207057814</v>
      </c>
      <c r="F13" s="1">
        <f t="shared" ca="1" si="0"/>
        <v>47.922227873724481</v>
      </c>
      <c r="G13" s="1">
        <f t="shared" ca="1" si="1"/>
        <v>11.468719921870701</v>
      </c>
      <c r="J13" s="2">
        <f ca="1">COUNTIF($E$2:E13,"&gt;"&amp;D13)</f>
        <v>3</v>
      </c>
      <c r="M13">
        <f ca="1">F13-D13</f>
        <v>14.585386588537368</v>
      </c>
      <c r="Q13">
        <v>660</v>
      </c>
      <c r="R13" s="2">
        <f t="shared" ca="1" si="6"/>
        <v>29</v>
      </c>
      <c r="S13">
        <v>660</v>
      </c>
      <c r="T13" s="2">
        <f t="shared" ca="1" si="7"/>
        <v>29</v>
      </c>
    </row>
    <row r="14" spans="1:20">
      <c r="A14">
        <v>13</v>
      </c>
      <c r="B14" s="1">
        <f t="shared" ca="1" si="2"/>
        <v>2.8874296117743121</v>
      </c>
      <c r="C14" s="4">
        <f t="shared" ca="1" si="3"/>
        <v>3.5666666666666669</v>
      </c>
      <c r="D14" s="1">
        <f t="shared" ca="1" si="5"/>
        <v>36.224270896961428</v>
      </c>
      <c r="E14" s="1">
        <f t="shared" ca="1" si="4"/>
        <v>47.922227873724481</v>
      </c>
      <c r="F14" s="1">
        <f t="shared" ca="1" si="0"/>
        <v>51.488894540391151</v>
      </c>
      <c r="G14" s="1">
        <f t="shared" ca="1" si="1"/>
        <v>11.697956976763052</v>
      </c>
      <c r="J14" s="2">
        <f ca="1">COUNTIF($E$2:E14,"&gt;"&amp;D14)</f>
        <v>3</v>
      </c>
      <c r="M14">
        <f ca="1">F14-D14</f>
        <v>15.264623643429722</v>
      </c>
      <c r="Q14">
        <v>720</v>
      </c>
      <c r="R14" s="2">
        <f t="shared" ca="1" si="6"/>
        <v>29</v>
      </c>
      <c r="S14">
        <v>720</v>
      </c>
      <c r="T14" s="2">
        <f t="shared" ca="1" si="7"/>
        <v>29</v>
      </c>
    </row>
    <row r="15" spans="1:20">
      <c r="A15">
        <v>14</v>
      </c>
      <c r="B15" s="1">
        <f t="shared" ca="1" si="2"/>
        <v>9.4997801578171774</v>
      </c>
      <c r="C15" s="4">
        <f t="shared" ca="1" si="3"/>
        <v>2.9</v>
      </c>
      <c r="D15" s="1">
        <f t="shared" ca="1" si="5"/>
        <v>45.724051054778606</v>
      </c>
      <c r="E15" s="1">
        <f t="shared" ca="1" si="4"/>
        <v>51.488894540391151</v>
      </c>
      <c r="F15" s="1">
        <f t="shared" ca="1" si="0"/>
        <v>54.388894540391149</v>
      </c>
      <c r="G15" s="1">
        <f t="shared" ca="1" si="1"/>
        <v>5.7648434856125448</v>
      </c>
      <c r="J15" s="2">
        <f ca="1">COUNTIF($E$2:E15,"&gt;"&amp;D15)</f>
        <v>2</v>
      </c>
      <c r="M15">
        <f ca="1">F15-D15</f>
        <v>8.6648434856125434</v>
      </c>
      <c r="Q15">
        <v>780</v>
      </c>
      <c r="R15" s="2">
        <f t="shared" ca="1" si="6"/>
        <v>29</v>
      </c>
      <c r="S15">
        <v>780</v>
      </c>
      <c r="T15" s="2">
        <f t="shared" ca="1" si="7"/>
        <v>29</v>
      </c>
    </row>
    <row r="16" spans="1:20">
      <c r="A16">
        <v>15</v>
      </c>
      <c r="B16" s="1">
        <f t="shared" ca="1" si="2"/>
        <v>7.5279901607057065</v>
      </c>
      <c r="C16" s="4">
        <f t="shared" ca="1" si="3"/>
        <v>3.1166666666666667</v>
      </c>
      <c r="D16" s="1">
        <f t="shared" ca="1" si="5"/>
        <v>53.252041215484311</v>
      </c>
      <c r="E16" s="1">
        <f t="shared" ca="1" si="4"/>
        <v>54.388894540391149</v>
      </c>
      <c r="F16" s="1">
        <f t="shared" ca="1" si="0"/>
        <v>57.505561207057816</v>
      </c>
      <c r="G16" s="1">
        <f t="shared" ca="1" si="1"/>
        <v>1.1368533249068378</v>
      </c>
      <c r="J16" s="2">
        <f ca="1">COUNTIF($E$2:E16,"&gt;"&amp;D16)</f>
        <v>1</v>
      </c>
      <c r="M16">
        <f ca="1">F16-D16</f>
        <v>4.2535199915735049</v>
      </c>
      <c r="Q16">
        <v>840</v>
      </c>
      <c r="R16" s="2">
        <f t="shared" ca="1" si="6"/>
        <v>29</v>
      </c>
      <c r="S16">
        <v>840</v>
      </c>
      <c r="T16" s="2">
        <f t="shared" ca="1" si="7"/>
        <v>29</v>
      </c>
    </row>
    <row r="17" spans="1:20">
      <c r="A17">
        <v>16</v>
      </c>
      <c r="B17" s="1">
        <f t="shared" ca="1" si="2"/>
        <v>3.9646601707959768</v>
      </c>
      <c r="C17" s="4">
        <f t="shared" ca="1" si="3"/>
        <v>2.5499999999999998</v>
      </c>
      <c r="D17" s="1">
        <f t="shared" ca="1" si="5"/>
        <v>57.216701386280292</v>
      </c>
      <c r="E17" s="1">
        <f t="shared" ca="1" si="4"/>
        <v>57.505561207057816</v>
      </c>
      <c r="F17" s="1">
        <f t="shared" ca="1" si="0"/>
        <v>60.055561207057814</v>
      </c>
      <c r="G17" s="1">
        <f t="shared" ca="1" si="1"/>
        <v>0.28885982077752459</v>
      </c>
      <c r="J17" s="2">
        <f ca="1">COUNTIF($E$2:E17,"&gt;"&amp;D17)</f>
        <v>1</v>
      </c>
      <c r="M17">
        <f ca="1">F17-D17</f>
        <v>2.8388598207775217</v>
      </c>
      <c r="Q17">
        <v>900</v>
      </c>
      <c r="R17" s="2">
        <f t="shared" ca="1" si="6"/>
        <v>29</v>
      </c>
      <c r="S17">
        <v>900</v>
      </c>
      <c r="T17" s="2">
        <f t="shared" ca="1" si="7"/>
        <v>29</v>
      </c>
    </row>
    <row r="18" spans="1:20">
      <c r="A18">
        <v>17</v>
      </c>
      <c r="B18" s="1">
        <f t="shared" ca="1" si="2"/>
        <v>5.4844339704550311</v>
      </c>
      <c r="C18" s="4">
        <f t="shared" ca="1" si="3"/>
        <v>4.25</v>
      </c>
      <c r="D18" s="1">
        <f t="shared" ca="1" si="5"/>
        <v>62.701135356735321</v>
      </c>
      <c r="E18" s="1">
        <f t="shared" ca="1" si="4"/>
        <v>62.701135356735321</v>
      </c>
      <c r="F18" s="1">
        <f t="shared" ca="1" si="0"/>
        <v>66.951135356735321</v>
      </c>
      <c r="G18" s="1">
        <f t="shared" ca="1" si="1"/>
        <v>0</v>
      </c>
      <c r="J18" s="2">
        <f ca="1">COUNTIF($E$2:E18,"&gt;"&amp;D18)</f>
        <v>0</v>
      </c>
      <c r="M18">
        <f ca="1">F18-D18</f>
        <v>4.25</v>
      </c>
      <c r="Q18">
        <v>960</v>
      </c>
      <c r="R18" s="2">
        <f t="shared" ca="1" si="6"/>
        <v>29</v>
      </c>
      <c r="S18">
        <v>960</v>
      </c>
      <c r="T18" s="2">
        <f t="shared" ca="1" si="7"/>
        <v>29</v>
      </c>
    </row>
    <row r="19" spans="1:20">
      <c r="A19">
        <v>18</v>
      </c>
      <c r="B19" s="1">
        <f t="shared" ca="1" si="2"/>
        <v>6.5008495735576988</v>
      </c>
      <c r="C19" s="4">
        <f t="shared" ca="1" si="3"/>
        <v>3.1833333333333331</v>
      </c>
      <c r="D19" s="1">
        <f t="shared" ca="1" si="5"/>
        <v>69.201984930293023</v>
      </c>
      <c r="E19" s="1">
        <f t="shared" ca="1" si="4"/>
        <v>69.201984930293023</v>
      </c>
      <c r="F19" s="1">
        <f t="shared" ca="1" si="0"/>
        <v>72.38531826362636</v>
      </c>
      <c r="G19" s="1">
        <f t="shared" ca="1" si="1"/>
        <v>0</v>
      </c>
      <c r="J19" s="2">
        <f ca="1">COUNTIF($E$2:E19,"&gt;"&amp;D19)</f>
        <v>0</v>
      </c>
      <c r="M19">
        <f ca="1">F19-D19</f>
        <v>3.1833333333333371</v>
      </c>
      <c r="Q19">
        <v>1020</v>
      </c>
      <c r="R19" s="2">
        <f t="shared" ca="1" si="6"/>
        <v>29</v>
      </c>
      <c r="S19">
        <v>1020</v>
      </c>
      <c r="T19" s="2">
        <f t="shared" ca="1" si="7"/>
        <v>29</v>
      </c>
    </row>
    <row r="20" spans="1:20">
      <c r="A20">
        <v>19</v>
      </c>
      <c r="B20" s="1">
        <f t="shared" ca="1" si="2"/>
        <v>1.4817927642593161</v>
      </c>
      <c r="C20" s="4">
        <f t="shared" ca="1" si="3"/>
        <v>3.2833333333333332</v>
      </c>
      <c r="D20" s="1">
        <f t="shared" ca="1" si="5"/>
        <v>70.683777694552333</v>
      </c>
      <c r="E20" s="1">
        <f t="shared" ca="1" si="4"/>
        <v>72.38531826362636</v>
      </c>
      <c r="F20" s="1">
        <f t="shared" ca="1" si="0"/>
        <v>75.668651596959691</v>
      </c>
      <c r="G20" s="1">
        <f t="shared" ca="1" si="1"/>
        <v>1.7015405690740266</v>
      </c>
      <c r="J20" s="2">
        <f ca="1">COUNTIF($E$2:E20,"&gt;"&amp;D20)</f>
        <v>1</v>
      </c>
      <c r="M20">
        <f ca="1">F20-D20</f>
        <v>4.9848739024073581</v>
      </c>
      <c r="Q20">
        <v>1080</v>
      </c>
      <c r="R20" s="2">
        <f t="shared" ca="1" si="6"/>
        <v>29</v>
      </c>
      <c r="S20">
        <v>1080</v>
      </c>
      <c r="T20" s="2">
        <f t="shared" ca="1" si="7"/>
        <v>29</v>
      </c>
    </row>
    <row r="21" spans="1:20">
      <c r="A21">
        <v>20</v>
      </c>
      <c r="B21" s="1">
        <f t="shared" ca="1" si="2"/>
        <v>0.48196310381325791</v>
      </c>
      <c r="C21" s="4">
        <f t="shared" ca="1" si="3"/>
        <v>3.3833333333333333</v>
      </c>
      <c r="D21" s="1">
        <f t="shared" ca="1" si="5"/>
        <v>71.16574079836559</v>
      </c>
      <c r="E21" s="1">
        <f t="shared" ca="1" si="4"/>
        <v>75.668651596959691</v>
      </c>
      <c r="F21" s="1">
        <f t="shared" ca="1" si="0"/>
        <v>79.051984930293031</v>
      </c>
      <c r="G21" s="1">
        <f t="shared" ca="1" si="1"/>
        <v>4.502910798594101</v>
      </c>
      <c r="J21" s="2">
        <f ca="1">COUNTIF($E$2:E21,"&gt;"&amp;D21)</f>
        <v>2</v>
      </c>
      <c r="M21">
        <f ca="1">F21-D21</f>
        <v>7.886244131927441</v>
      </c>
      <c r="Q21">
        <v>1140</v>
      </c>
      <c r="R21" s="2">
        <f t="shared" ca="1" si="6"/>
        <v>29</v>
      </c>
      <c r="S21">
        <v>1140</v>
      </c>
      <c r="T21" s="2">
        <f t="shared" ca="1" si="7"/>
        <v>29</v>
      </c>
    </row>
    <row r="22" spans="1:20">
      <c r="A22">
        <v>21</v>
      </c>
      <c r="B22" s="1">
        <f t="shared" ca="1" si="2"/>
        <v>0.43945592648658327</v>
      </c>
      <c r="C22" s="4">
        <f t="shared" ca="1" si="3"/>
        <v>4.083333333333333</v>
      </c>
      <c r="D22" s="1">
        <f t="shared" ca="1" si="5"/>
        <v>71.605196724852178</v>
      </c>
      <c r="E22" s="1">
        <f t="shared" ca="1" si="4"/>
        <v>79.051984930293031</v>
      </c>
      <c r="F22" s="1">
        <f t="shared" ca="1" si="0"/>
        <v>83.13531826362636</v>
      </c>
      <c r="G22" s="1">
        <f t="shared" ca="1" si="1"/>
        <v>7.4467882054408534</v>
      </c>
      <c r="J22" s="2">
        <f ca="1">COUNTIF($E$2:E22,"&gt;"&amp;D22)</f>
        <v>3</v>
      </c>
      <c r="M22">
        <f ca="1">F22-D22</f>
        <v>11.530121538774182</v>
      </c>
      <c r="Q22">
        <v>1200</v>
      </c>
      <c r="R22" s="2">
        <f t="shared" ca="1" si="6"/>
        <v>29</v>
      </c>
      <c r="S22">
        <v>1200</v>
      </c>
      <c r="T22" s="2">
        <f t="shared" ca="1" si="7"/>
        <v>29</v>
      </c>
    </row>
    <row r="23" spans="1:20">
      <c r="A23">
        <v>22</v>
      </c>
      <c r="B23" s="1">
        <f t="shared" ca="1" si="2"/>
        <v>3.2478602967360923</v>
      </c>
      <c r="C23" s="4">
        <f t="shared" ca="1" si="3"/>
        <v>2.6833333333333331</v>
      </c>
      <c r="D23" s="1">
        <f t="shared" ca="1" si="5"/>
        <v>74.85305702158827</v>
      </c>
      <c r="E23" s="1">
        <f t="shared" ca="1" si="4"/>
        <v>83.13531826362636</v>
      </c>
      <c r="F23" s="1">
        <f t="shared" ca="1" si="0"/>
        <v>85.818651596959697</v>
      </c>
      <c r="G23" s="1">
        <f t="shared" ca="1" si="1"/>
        <v>8.2822612420380892</v>
      </c>
      <c r="J23" s="2">
        <f ca="1">COUNTIF($E$2:E23,"&gt;"&amp;D23)</f>
        <v>3</v>
      </c>
      <c r="M23">
        <f ca="1">F23-D23</f>
        <v>10.965594575371426</v>
      </c>
      <c r="Q23">
        <v>1260</v>
      </c>
      <c r="R23" s="2">
        <f t="shared" ca="1" si="6"/>
        <v>29</v>
      </c>
      <c r="S23">
        <v>1260</v>
      </c>
      <c r="T23" s="2">
        <f t="shared" ca="1" si="7"/>
        <v>29</v>
      </c>
    </row>
    <row r="24" spans="1:20">
      <c r="A24">
        <v>23</v>
      </c>
      <c r="B24" s="1">
        <f t="shared" ca="1" si="2"/>
        <v>0.45407245903106186</v>
      </c>
      <c r="C24" s="4">
        <f t="shared" ca="1" si="3"/>
        <v>2.7166666666666668</v>
      </c>
      <c r="D24" s="1">
        <f t="shared" ca="1" si="5"/>
        <v>75.307129480619338</v>
      </c>
      <c r="E24" s="1">
        <f t="shared" ca="1" si="4"/>
        <v>85.818651596959697</v>
      </c>
      <c r="F24" s="1">
        <f t="shared" ca="1" si="0"/>
        <v>88.535318263626365</v>
      </c>
      <c r="G24" s="1">
        <f t="shared" ca="1" si="1"/>
        <v>10.511522116340359</v>
      </c>
      <c r="J24" s="2">
        <f ca="1">COUNTIF($E$2:E24,"&gt;"&amp;D24)</f>
        <v>4</v>
      </c>
      <c r="M24">
        <f ca="1">F24-D24</f>
        <v>13.228188783007027</v>
      </c>
      <c r="Q24">
        <v>1320</v>
      </c>
      <c r="R24" s="2">
        <f t="shared" ca="1" si="6"/>
        <v>29</v>
      </c>
      <c r="S24">
        <v>1320</v>
      </c>
      <c r="T24" s="2">
        <f t="shared" ca="1" si="7"/>
        <v>29</v>
      </c>
    </row>
    <row r="25" spans="1:20">
      <c r="A25">
        <v>24</v>
      </c>
      <c r="B25" s="1">
        <f t="shared" ca="1" si="2"/>
        <v>0.98969275631116316</v>
      </c>
      <c r="C25" s="4">
        <f t="shared" ca="1" si="3"/>
        <v>3.4666666666666668</v>
      </c>
      <c r="D25" s="1">
        <f t="shared" ca="1" si="5"/>
        <v>76.296822236930495</v>
      </c>
      <c r="E25" s="1">
        <f t="shared" ca="1" si="4"/>
        <v>88.535318263626365</v>
      </c>
      <c r="F25" s="1">
        <f t="shared" ca="1" si="0"/>
        <v>92.001984930293034</v>
      </c>
      <c r="G25" s="1">
        <f t="shared" ca="1" si="1"/>
        <v>12.23849602669587</v>
      </c>
      <c r="J25" s="2">
        <f ca="1">COUNTIF($E$2:E25,"&gt;"&amp;D25)</f>
        <v>4</v>
      </c>
      <c r="M25">
        <f ca="1">F25-D25</f>
        <v>15.705162693362539</v>
      </c>
      <c r="Q25">
        <v>1380</v>
      </c>
      <c r="R25" s="2">
        <f t="shared" ca="1" si="6"/>
        <v>29</v>
      </c>
      <c r="S25">
        <v>1380</v>
      </c>
      <c r="T25" s="2">
        <f t="shared" ca="1" si="7"/>
        <v>29</v>
      </c>
    </row>
    <row r="26" spans="1:20">
      <c r="A26">
        <v>25</v>
      </c>
      <c r="B26" s="1">
        <f t="shared" ca="1" si="2"/>
        <v>1.9717115664834028</v>
      </c>
      <c r="C26" s="4">
        <f t="shared" ca="1" si="3"/>
        <v>4.4000000000000004</v>
      </c>
      <c r="D26" s="1">
        <f t="shared" ca="1" si="5"/>
        <v>78.268533803413902</v>
      </c>
      <c r="E26" s="1">
        <f t="shared" ca="1" si="4"/>
        <v>92.001984930293034</v>
      </c>
      <c r="F26" s="1">
        <f t="shared" ca="1" si="0"/>
        <v>96.40198493029304</v>
      </c>
      <c r="G26" s="1">
        <f t="shared" ca="1" si="1"/>
        <v>13.733451126879132</v>
      </c>
      <c r="J26" s="2">
        <f ca="1">COUNTIF($E$2:E26,"&gt;"&amp;D26)</f>
        <v>5</v>
      </c>
      <c r="M26">
        <f ca="1">F26-D26</f>
        <v>18.133451126879137</v>
      </c>
      <c r="Q26">
        <v>1440</v>
      </c>
      <c r="R26" s="2">
        <f t="shared" ca="1" si="6"/>
        <v>29</v>
      </c>
      <c r="S26">
        <v>1440</v>
      </c>
      <c r="T26" s="2">
        <f t="shared" ca="1" si="7"/>
        <v>29</v>
      </c>
    </row>
    <row r="27" spans="1:20">
      <c r="A27">
        <v>26</v>
      </c>
      <c r="B27" s="1">
        <f t="shared" ca="1" si="2"/>
        <v>2.1227756129752127</v>
      </c>
      <c r="C27" s="4">
        <f t="shared" ca="1" si="3"/>
        <v>2.6833333333333331</v>
      </c>
      <c r="D27" s="1">
        <f t="shared" ca="1" si="5"/>
        <v>80.39130941638912</v>
      </c>
      <c r="E27" s="1">
        <f t="shared" ca="1" si="4"/>
        <v>96.40198493029304</v>
      </c>
      <c r="F27" s="1">
        <f t="shared" ca="1" si="0"/>
        <v>99.085318263626377</v>
      </c>
      <c r="G27" s="1">
        <f t="shared" ca="1" si="1"/>
        <v>16.010675513903919</v>
      </c>
      <c r="J27" s="2">
        <f ca="1">COUNTIF($E$2:E27,"&gt;"&amp;D27)</f>
        <v>5</v>
      </c>
      <c r="M27">
        <f ca="1">F27-D27</f>
        <v>18.694008847237257</v>
      </c>
      <c r="Q27">
        <v>1500</v>
      </c>
      <c r="R27" s="2">
        <f t="shared" ca="1" si="6"/>
        <v>29</v>
      </c>
      <c r="S27">
        <v>1500</v>
      </c>
      <c r="T27" s="2">
        <f t="shared" ca="1" si="7"/>
        <v>29</v>
      </c>
    </row>
    <row r="28" spans="1:20">
      <c r="A28">
        <v>27</v>
      </c>
      <c r="B28" s="1">
        <f t="shared" ca="1" si="2"/>
        <v>6.6226119902675802E-3</v>
      </c>
      <c r="C28" s="4">
        <f t="shared" ca="1" si="3"/>
        <v>2.8333333333333335</v>
      </c>
      <c r="D28" s="1">
        <f t="shared" ca="1" si="5"/>
        <v>80.397932028379387</v>
      </c>
      <c r="E28" s="1">
        <f t="shared" ca="1" si="4"/>
        <v>99.085318263626377</v>
      </c>
      <c r="F28" s="1">
        <f t="shared" ca="1" si="0"/>
        <v>101.91865159695971</v>
      </c>
      <c r="G28" s="1">
        <f t="shared" ca="1" si="1"/>
        <v>18.68738623524699</v>
      </c>
      <c r="J28" s="2">
        <f ca="1">COUNTIF($E$2:E28,"&gt;"&amp;D28)</f>
        <v>6</v>
      </c>
      <c r="M28">
        <f ca="1">F28-D28</f>
        <v>21.520719568580319</v>
      </c>
      <c r="Q28">
        <v>1560</v>
      </c>
      <c r="R28" s="2">
        <f t="shared" ca="1" si="6"/>
        <v>29</v>
      </c>
      <c r="S28">
        <v>1560</v>
      </c>
      <c r="T28" s="2">
        <f t="shared" ca="1" si="7"/>
        <v>29</v>
      </c>
    </row>
    <row r="29" spans="1:20">
      <c r="A29">
        <v>28</v>
      </c>
      <c r="B29" s="1">
        <f t="shared" ca="1" si="2"/>
        <v>0.55045981483485262</v>
      </c>
      <c r="C29" s="4">
        <f t="shared" ca="1" si="3"/>
        <v>3.6333333333333333</v>
      </c>
      <c r="D29" s="1">
        <f t="shared" ca="1" si="5"/>
        <v>80.948391843214239</v>
      </c>
      <c r="E29" s="1">
        <f t="shared" ca="1" si="4"/>
        <v>101.91865159695971</v>
      </c>
      <c r="F29" s="1">
        <f t="shared" ca="1" si="0"/>
        <v>105.55198493029305</v>
      </c>
      <c r="G29" s="1">
        <f t="shared" ca="1" si="1"/>
        <v>20.970259753745466</v>
      </c>
      <c r="J29" s="2">
        <f ca="1">COUNTIF($E$2:E29,"&gt;"&amp;D29)</f>
        <v>7</v>
      </c>
      <c r="M29">
        <f ca="1">F29-D29</f>
        <v>24.603593087078806</v>
      </c>
      <c r="Q29">
        <v>1620</v>
      </c>
      <c r="R29" s="2">
        <f t="shared" ca="1" si="6"/>
        <v>29</v>
      </c>
      <c r="S29">
        <v>1620</v>
      </c>
      <c r="T29" s="2">
        <f t="shared" ca="1" si="7"/>
        <v>29</v>
      </c>
    </row>
    <row r="30" spans="1:20">
      <c r="A30">
        <v>29</v>
      </c>
      <c r="B30" s="1">
        <f t="shared" ca="1" si="2"/>
        <v>2.6854757325343521</v>
      </c>
      <c r="C30" s="4">
        <f t="shared" ca="1" si="3"/>
        <v>3.25</v>
      </c>
      <c r="D30" s="1">
        <f t="shared" ca="1" si="5"/>
        <v>83.633867575748596</v>
      </c>
      <c r="E30" s="1">
        <f ca="1">MAX(D30,F29)</f>
        <v>105.55198493029305</v>
      </c>
      <c r="F30" s="1">
        <f t="shared" ca="1" si="0"/>
        <v>108.80198493029305</v>
      </c>
      <c r="G30" s="1">
        <f t="shared" ca="1" si="1"/>
        <v>21.918117354544449</v>
      </c>
      <c r="J30" s="2">
        <f ca="1">COUNTIF($E$2:E30,"&gt;"&amp;D30)</f>
        <v>7</v>
      </c>
      <c r="M30">
        <f ca="1">F30-D30</f>
        <v>25.168117354544449</v>
      </c>
      <c r="Q30">
        <v>1680</v>
      </c>
      <c r="R30" s="2">
        <f t="shared" ca="1" si="6"/>
        <v>29</v>
      </c>
      <c r="S30">
        <v>1680</v>
      </c>
      <c r="T30" s="2">
        <f t="shared" ca="1" si="7"/>
        <v>29</v>
      </c>
    </row>
    <row r="31" spans="1:20">
      <c r="B31" s="1"/>
      <c r="C31" s="4"/>
      <c r="D31" s="1"/>
      <c r="E31" s="1"/>
      <c r="F31" s="1"/>
      <c r="G31" s="1">
        <f ca="1">SUM(G2:G30)</f>
        <v>201.92393800232716</v>
      </c>
      <c r="J31" s="2"/>
      <c r="R31" s="2"/>
      <c r="T31" s="2"/>
    </row>
    <row r="32" spans="1:20">
      <c r="B32" s="1"/>
      <c r="C32" s="4"/>
      <c r="D32" s="1"/>
      <c r="E32" s="1"/>
      <c r="F32" s="1"/>
      <c r="G32" s="1"/>
      <c r="J32" s="2"/>
      <c r="R32" s="2"/>
      <c r="T32" s="2"/>
    </row>
    <row r="33" spans="2:20">
      <c r="B33" s="1"/>
      <c r="C33" s="4"/>
      <c r="D33" s="1"/>
      <c r="E33" s="1"/>
      <c r="F33" s="1"/>
      <c r="G33" s="1"/>
      <c r="J33" s="2"/>
      <c r="R33" s="2"/>
      <c r="T33" s="2"/>
    </row>
    <row r="34" spans="2:20">
      <c r="B34" s="1"/>
      <c r="C34" s="4"/>
      <c r="D34" s="1"/>
      <c r="E34" s="1"/>
      <c r="F34" s="1"/>
      <c r="G34" s="1"/>
      <c r="J34" s="2"/>
      <c r="R34" s="2"/>
      <c r="T34" s="2"/>
    </row>
    <row r="35" spans="2:20">
      <c r="B35" s="1"/>
      <c r="C35" s="4"/>
      <c r="D35" s="1"/>
      <c r="E35" s="1"/>
      <c r="F35" s="1"/>
      <c r="G35" s="1"/>
      <c r="J35" s="2"/>
      <c r="R35" s="2"/>
      <c r="T35" s="2"/>
    </row>
    <row r="36" spans="2:20">
      <c r="B36" s="1"/>
      <c r="C36" s="4"/>
      <c r="D36" s="1"/>
      <c r="E36" s="1"/>
      <c r="F36" s="1"/>
      <c r="G36" s="1"/>
      <c r="J36" s="2"/>
      <c r="R36" s="2"/>
      <c r="T36" s="2"/>
    </row>
    <row r="37" spans="2:20">
      <c r="B37" s="1"/>
      <c r="C37" s="4"/>
      <c r="D37" s="1"/>
      <c r="E37" s="1"/>
      <c r="F37" s="1"/>
      <c r="G37" s="1"/>
      <c r="J37" s="2"/>
      <c r="R37" s="2"/>
      <c r="T37" s="2"/>
    </row>
    <row r="38" spans="2:20">
      <c r="B38" s="1"/>
      <c r="C38" s="4"/>
      <c r="D38" s="1"/>
      <c r="E38" s="1"/>
      <c r="F38" s="1"/>
      <c r="G38" s="1"/>
      <c r="J38" s="2"/>
      <c r="R38" s="2"/>
      <c r="T38" s="2"/>
    </row>
    <row r="39" spans="2:20">
      <c r="B39" s="1"/>
      <c r="C39" s="4"/>
      <c r="D39" s="1"/>
      <c r="E39" s="1"/>
      <c r="F39" s="1"/>
      <c r="G39" s="1"/>
      <c r="J39" s="2"/>
      <c r="R39" s="2"/>
      <c r="T39" s="2"/>
    </row>
    <row r="40" spans="2:20">
      <c r="B40" s="1"/>
      <c r="C40" s="4"/>
      <c r="D40" s="1"/>
      <c r="E40" s="1"/>
      <c r="F40" s="1"/>
      <c r="G40" s="1"/>
      <c r="J40" s="2"/>
      <c r="R40" s="2"/>
      <c r="T40" s="2"/>
    </row>
    <row r="41" spans="2:20">
      <c r="B41" s="1"/>
      <c r="C41" s="4"/>
      <c r="D41" s="1"/>
      <c r="E41" s="1"/>
      <c r="F41" s="1"/>
      <c r="G41" s="1"/>
      <c r="J41" s="2"/>
      <c r="R41" s="2"/>
      <c r="T41" s="2"/>
    </row>
    <row r="42" spans="2:20">
      <c r="B42" s="1"/>
      <c r="C42" s="4"/>
      <c r="D42" s="1"/>
      <c r="E42" s="1"/>
      <c r="F42" s="1"/>
      <c r="G42" s="1"/>
      <c r="J42" s="2"/>
      <c r="R42" s="2"/>
      <c r="T42" s="2"/>
    </row>
    <row r="43" spans="2:20">
      <c r="B43" s="1"/>
      <c r="C43" s="4"/>
      <c r="D43" s="1"/>
      <c r="E43" s="1"/>
      <c r="F43" s="1"/>
      <c r="G43" s="1"/>
      <c r="J43" s="2"/>
      <c r="R43" s="2"/>
      <c r="T43" s="2"/>
    </row>
    <row r="44" spans="2:20">
      <c r="B44" s="1"/>
      <c r="C44" s="4"/>
      <c r="D44" s="1"/>
      <c r="E44" s="1"/>
      <c r="F44" s="1"/>
      <c r="G44" s="1"/>
      <c r="J44" s="2"/>
      <c r="R44" s="2"/>
      <c r="T44" s="2"/>
    </row>
    <row r="45" spans="2:20">
      <c r="B45" s="1"/>
      <c r="C45" s="4"/>
      <c r="D45" s="1"/>
      <c r="E45" s="1"/>
      <c r="F45" s="1"/>
      <c r="G45" s="1"/>
      <c r="J45" s="2"/>
      <c r="R45" s="2"/>
      <c r="T45" s="2"/>
    </row>
    <row r="46" spans="2:20">
      <c r="B46" s="1"/>
      <c r="C46" s="4"/>
      <c r="D46" s="1"/>
      <c r="E46" s="1"/>
      <c r="F46" s="1"/>
      <c r="G46" s="1"/>
      <c r="J46" s="2"/>
      <c r="R46" s="2"/>
      <c r="T46" s="2"/>
    </row>
    <row r="47" spans="2:20">
      <c r="B47" s="1"/>
      <c r="C47" s="4"/>
      <c r="D47" s="1"/>
      <c r="E47" s="1"/>
      <c r="F47" s="1"/>
      <c r="G47" s="1"/>
      <c r="J47" s="2"/>
      <c r="R47" s="2"/>
      <c r="T47" s="2"/>
    </row>
    <row r="48" spans="2:20">
      <c r="B48" s="1"/>
      <c r="C48" s="4"/>
      <c r="D48" s="1"/>
      <c r="E48" s="1"/>
      <c r="F48" s="1"/>
      <c r="G48" s="1"/>
      <c r="J48" s="2"/>
      <c r="R48" s="2"/>
      <c r="T48" s="2"/>
    </row>
    <row r="49" spans="2:20">
      <c r="B49" s="1"/>
      <c r="C49" s="4"/>
      <c r="D49" s="1"/>
      <c r="E49" s="1"/>
      <c r="F49" s="1"/>
      <c r="G49" s="1"/>
      <c r="J49" s="2"/>
      <c r="R49" s="2"/>
      <c r="T49" s="2"/>
    </row>
    <row r="50" spans="2:20">
      <c r="B50" s="1"/>
      <c r="C50" s="4"/>
      <c r="D50" s="1"/>
      <c r="E50" s="1"/>
      <c r="F50" s="1"/>
      <c r="G50" s="1"/>
      <c r="J50" s="2"/>
      <c r="R50" s="2"/>
      <c r="T50" s="2"/>
    </row>
    <row r="51" spans="2:20">
      <c r="B51" s="1"/>
      <c r="C51" s="4"/>
      <c r="D51" s="1"/>
      <c r="E51" s="1"/>
      <c r="F51" s="1"/>
      <c r="G51" s="1"/>
      <c r="J51" s="2"/>
      <c r="R51" s="2"/>
      <c r="T51" s="2"/>
    </row>
    <row r="52" spans="2:20">
      <c r="B52" s="1"/>
      <c r="C52" s="4"/>
      <c r="D52" s="1"/>
      <c r="E52" s="1"/>
      <c r="F52" s="1"/>
      <c r="G52" s="1"/>
      <c r="J52" s="2"/>
      <c r="R52" s="2"/>
      <c r="T52" s="2"/>
    </row>
    <row r="53" spans="2:20">
      <c r="B53" s="1"/>
      <c r="C53" s="4"/>
      <c r="D53" s="1"/>
      <c r="E53" s="1"/>
      <c r="F53" s="1"/>
      <c r="G53" s="1"/>
      <c r="J53" s="2"/>
      <c r="R53" s="2"/>
      <c r="T53" s="2"/>
    </row>
    <row r="54" spans="2:20">
      <c r="B54" s="1"/>
      <c r="C54" s="4"/>
      <c r="D54" s="1"/>
      <c r="E54" s="1"/>
      <c r="F54" s="1"/>
      <c r="G54" s="1"/>
      <c r="J54" s="2"/>
      <c r="R54" s="2"/>
      <c r="T54" s="2"/>
    </row>
    <row r="55" spans="2:20">
      <c r="B55" s="1"/>
      <c r="C55" s="4"/>
      <c r="D55" s="1"/>
      <c r="E55" s="1"/>
      <c r="F55" s="1"/>
      <c r="G55" s="1"/>
      <c r="J55" s="2"/>
      <c r="R55" s="2"/>
      <c r="T55" s="2"/>
    </row>
    <row r="56" spans="2:20">
      <c r="B56" s="1"/>
      <c r="C56" s="4"/>
      <c r="D56" s="1"/>
      <c r="E56" s="1"/>
      <c r="F56" s="1"/>
      <c r="G56" s="1"/>
      <c r="J56" s="2"/>
      <c r="R56" s="2"/>
      <c r="T56" s="2"/>
    </row>
    <row r="57" spans="2:20">
      <c r="B57" s="1"/>
      <c r="C57" s="4"/>
      <c r="D57" s="1"/>
      <c r="E57" s="1"/>
      <c r="F57" s="1"/>
      <c r="G57" s="1"/>
      <c r="J57" s="2"/>
      <c r="R57" s="2"/>
      <c r="T57" s="2"/>
    </row>
    <row r="58" spans="2:20">
      <c r="B58" s="1"/>
      <c r="C58" s="4"/>
      <c r="D58" s="1"/>
      <c r="E58" s="1"/>
      <c r="F58" s="1"/>
      <c r="G58" s="1"/>
      <c r="J58" s="2"/>
      <c r="R58" s="2"/>
      <c r="T58" s="2"/>
    </row>
    <row r="59" spans="2:20">
      <c r="B59" s="1"/>
      <c r="C59" s="4"/>
      <c r="D59" s="1"/>
      <c r="E59" s="1"/>
      <c r="F59" s="1"/>
      <c r="G59" s="1"/>
      <c r="J59" s="2"/>
      <c r="R59" s="2"/>
      <c r="T59" s="2"/>
    </row>
    <row r="60" spans="2:20">
      <c r="B60" s="1"/>
      <c r="C60" s="4"/>
      <c r="D60" s="1"/>
      <c r="E60" s="1"/>
      <c r="F60" s="1"/>
      <c r="G60" s="1"/>
      <c r="J60" s="2"/>
      <c r="R60" s="2"/>
      <c r="T60" s="2"/>
    </row>
    <row r="61" spans="2:20">
      <c r="B61" s="1"/>
      <c r="C61" s="4"/>
      <c r="D61" s="1"/>
      <c r="E61" s="1"/>
      <c r="F61" s="1"/>
      <c r="G61" s="1"/>
      <c r="J61" s="2"/>
      <c r="R61" s="2"/>
      <c r="T61" s="2"/>
    </row>
    <row r="62" spans="2:20">
      <c r="B62" s="1"/>
      <c r="C62" s="4"/>
      <c r="D62" s="1"/>
      <c r="E62" s="1"/>
      <c r="F62" s="1"/>
      <c r="G62" s="1"/>
      <c r="J62" s="2"/>
      <c r="R62" s="2"/>
      <c r="T62" s="2"/>
    </row>
    <row r="63" spans="2:20">
      <c r="B63" s="1"/>
      <c r="C63" s="4"/>
      <c r="D63" s="1"/>
      <c r="E63" s="1"/>
      <c r="F63" s="1"/>
      <c r="G63" s="1"/>
      <c r="J63" s="2"/>
      <c r="R63" s="2"/>
      <c r="T63" s="2"/>
    </row>
    <row r="64" spans="2:20">
      <c r="B64" s="1"/>
      <c r="C64" s="4"/>
      <c r="D64" s="1"/>
      <c r="E64" s="1"/>
      <c r="F64" s="1"/>
      <c r="G64" s="1"/>
      <c r="J64" s="2"/>
      <c r="R64" s="2"/>
      <c r="T64" s="2"/>
    </row>
    <row r="65" spans="2:20">
      <c r="B65" s="1"/>
      <c r="C65" s="4"/>
      <c r="D65" s="1"/>
      <c r="E65" s="1"/>
      <c r="F65" s="1"/>
      <c r="G65" s="1"/>
      <c r="J65" s="2"/>
      <c r="R65" s="2"/>
      <c r="T65" s="2"/>
    </row>
    <row r="66" spans="2:20">
      <c r="B66" s="1"/>
      <c r="C66" s="4"/>
      <c r="D66" s="1"/>
      <c r="E66" s="1"/>
      <c r="F66" s="1"/>
      <c r="G66" s="1"/>
      <c r="J66" s="2"/>
      <c r="R66" s="2"/>
      <c r="T66" s="2"/>
    </row>
    <row r="67" spans="2:20">
      <c r="B67" s="1"/>
      <c r="C67" s="4"/>
      <c r="D67" s="1"/>
      <c r="E67" s="1"/>
      <c r="F67" s="1"/>
      <c r="G67" s="1"/>
      <c r="J67" s="2"/>
      <c r="R67" s="2"/>
      <c r="T67" s="2"/>
    </row>
    <row r="68" spans="2:20">
      <c r="B68" s="1"/>
      <c r="C68" s="4"/>
      <c r="D68" s="1"/>
      <c r="E68" s="1"/>
      <c r="F68" s="1"/>
      <c r="G68" s="1"/>
      <c r="J68" s="2"/>
      <c r="R68" s="2"/>
      <c r="T68" s="2"/>
    </row>
    <row r="69" spans="2:20">
      <c r="B69" s="1"/>
      <c r="C69" s="4"/>
      <c r="D69" s="1"/>
      <c r="E69" s="1"/>
      <c r="F69" s="1"/>
      <c r="G69" s="1"/>
      <c r="J69" s="2"/>
      <c r="R69" s="2"/>
      <c r="T69" s="2"/>
    </row>
    <row r="70" spans="2:20">
      <c r="B70" s="1"/>
      <c r="C70" s="4"/>
      <c r="D70" s="1"/>
      <c r="E70" s="1"/>
      <c r="F70" s="1"/>
      <c r="G70" s="1"/>
      <c r="J70" s="2"/>
      <c r="R70" s="2"/>
      <c r="T70" s="2"/>
    </row>
    <row r="71" spans="2:20">
      <c r="B71" s="1"/>
      <c r="C71" s="4"/>
      <c r="D71" s="1"/>
      <c r="E71" s="1"/>
      <c r="F71" s="1"/>
      <c r="G71" s="1"/>
      <c r="J71" s="2"/>
      <c r="R71" s="2"/>
      <c r="T71" s="2"/>
    </row>
    <row r="72" spans="2:20">
      <c r="B72" s="1"/>
      <c r="C72" s="4"/>
      <c r="D72" s="1"/>
      <c r="E72" s="1"/>
      <c r="F72" s="1"/>
      <c r="G72" s="1"/>
      <c r="J72" s="2"/>
      <c r="R72" s="2"/>
      <c r="T72" s="2"/>
    </row>
    <row r="73" spans="2:20">
      <c r="B73" s="1"/>
      <c r="C73" s="4"/>
      <c r="D73" s="1"/>
      <c r="E73" s="1"/>
      <c r="F73" s="1"/>
      <c r="G73" s="1"/>
      <c r="J73" s="2"/>
      <c r="R73" s="2"/>
      <c r="T73" s="2"/>
    </row>
    <row r="74" spans="2:20">
      <c r="B74" s="1"/>
      <c r="C74" s="4"/>
      <c r="D74" s="1"/>
      <c r="E74" s="1"/>
      <c r="F74" s="1"/>
      <c r="G74" s="1"/>
      <c r="J74" s="2"/>
      <c r="R74" s="2"/>
      <c r="T74" s="2"/>
    </row>
    <row r="75" spans="2:20">
      <c r="B75" s="1"/>
      <c r="C75" s="4"/>
      <c r="D75" s="1"/>
      <c r="E75" s="1"/>
      <c r="F75" s="1"/>
      <c r="G75" s="1"/>
      <c r="J75" s="2"/>
      <c r="R75" s="2"/>
      <c r="T75" s="2"/>
    </row>
    <row r="76" spans="2:20">
      <c r="B76" s="1"/>
      <c r="C76" s="4"/>
      <c r="D76" s="1"/>
      <c r="E76" s="1"/>
      <c r="F76" s="1"/>
      <c r="G76" s="1"/>
      <c r="J76" s="2"/>
      <c r="R76" s="2"/>
      <c r="T76" s="2"/>
    </row>
    <row r="77" spans="2:20">
      <c r="B77" s="1"/>
      <c r="C77" s="4"/>
      <c r="D77" s="1"/>
      <c r="E77" s="1"/>
      <c r="F77" s="1"/>
      <c r="G77" s="1"/>
      <c r="J77" s="2"/>
      <c r="R77" s="2"/>
      <c r="T77" s="2"/>
    </row>
    <row r="78" spans="2:20">
      <c r="B78" s="1"/>
      <c r="C78" s="4"/>
      <c r="D78" s="1"/>
      <c r="E78" s="1"/>
      <c r="F78" s="1"/>
      <c r="G78" s="1"/>
      <c r="J78" s="2"/>
      <c r="R78" s="2"/>
      <c r="T78" s="2"/>
    </row>
    <row r="79" spans="2:20">
      <c r="B79" s="1"/>
      <c r="C79" s="4"/>
      <c r="D79" s="1"/>
      <c r="E79" s="1"/>
      <c r="F79" s="1"/>
      <c r="G79" s="1"/>
      <c r="J79" s="2"/>
      <c r="R79" s="2"/>
      <c r="T79" s="2"/>
    </row>
    <row r="80" spans="2:20">
      <c r="B80" s="1"/>
      <c r="C80" s="4"/>
      <c r="D80" s="1"/>
      <c r="E80" s="1"/>
      <c r="F80" s="1"/>
      <c r="G80" s="1"/>
      <c r="J80" s="2"/>
      <c r="R80" s="2"/>
      <c r="T80" s="2"/>
    </row>
    <row r="81" spans="2:20">
      <c r="B81" s="1"/>
      <c r="C81" s="4"/>
      <c r="D81" s="1"/>
      <c r="E81" s="1"/>
      <c r="F81" s="1"/>
      <c r="G81" s="1"/>
      <c r="J81" s="2"/>
      <c r="R81" s="2"/>
      <c r="T81" s="2"/>
    </row>
    <row r="82" spans="2:20">
      <c r="B82" s="1"/>
      <c r="C82" s="4"/>
      <c r="D82" s="1"/>
      <c r="E82" s="1"/>
      <c r="F82" s="1"/>
      <c r="G82" s="1"/>
      <c r="J82" s="2"/>
      <c r="R82" s="2"/>
      <c r="T82" s="2"/>
    </row>
    <row r="83" spans="2:20">
      <c r="B83" s="1"/>
      <c r="C83" s="4"/>
      <c r="D83" s="1"/>
      <c r="E83" s="1"/>
      <c r="F83" s="1"/>
      <c r="G83" s="1"/>
      <c r="J83" s="2"/>
      <c r="R83" s="2"/>
      <c r="T83" s="2"/>
    </row>
    <row r="84" spans="2:20">
      <c r="B84" s="1"/>
      <c r="C84" s="4"/>
      <c r="D84" s="1"/>
      <c r="E84" s="1"/>
      <c r="F84" s="1"/>
      <c r="G84" s="1"/>
      <c r="J84" s="2"/>
      <c r="R84" s="2"/>
      <c r="T84" s="2"/>
    </row>
    <row r="85" spans="2:20">
      <c r="B85" s="1"/>
      <c r="C85" s="4"/>
      <c r="D85" s="1"/>
      <c r="E85" s="1"/>
      <c r="F85" s="1"/>
      <c r="G85" s="1"/>
      <c r="J85" s="2"/>
      <c r="R85" s="2"/>
      <c r="T85" s="2"/>
    </row>
    <row r="86" spans="2:20">
      <c r="B86" s="1"/>
      <c r="C86" s="4"/>
      <c r="D86" s="1"/>
      <c r="E86" s="1"/>
      <c r="F86" s="1"/>
      <c r="G86" s="1"/>
      <c r="J86" s="2"/>
      <c r="R86" s="2"/>
      <c r="T86" s="2"/>
    </row>
    <row r="87" spans="2:20">
      <c r="B87" s="1"/>
      <c r="C87" s="4"/>
      <c r="D87" s="1"/>
      <c r="E87" s="1"/>
      <c r="F87" s="1"/>
      <c r="G87" s="1"/>
      <c r="J87" s="2"/>
      <c r="R87" s="2"/>
      <c r="T87" s="2"/>
    </row>
    <row r="88" spans="2:20">
      <c r="B88" s="1"/>
      <c r="C88" s="4"/>
      <c r="D88" s="1"/>
      <c r="E88" s="1"/>
      <c r="F88" s="1"/>
      <c r="G88" s="1"/>
      <c r="J88" s="2"/>
      <c r="R88" s="2"/>
      <c r="T88" s="2"/>
    </row>
    <row r="89" spans="2:20">
      <c r="B89" s="1"/>
      <c r="C89" s="4"/>
      <c r="D89" s="1"/>
      <c r="E89" s="1"/>
      <c r="F89" s="1"/>
      <c r="G89" s="1"/>
      <c r="J89" s="2"/>
      <c r="R89" s="2"/>
      <c r="T89" s="2"/>
    </row>
    <row r="90" spans="2:20">
      <c r="B90" s="1"/>
      <c r="C90" s="4"/>
      <c r="D90" s="1"/>
      <c r="E90" s="1"/>
      <c r="F90" s="1"/>
      <c r="G90" s="1"/>
      <c r="J90" s="2"/>
      <c r="R90" s="2"/>
      <c r="T90" s="2"/>
    </row>
    <row r="91" spans="2:20">
      <c r="B91" s="1"/>
      <c r="C91" s="4"/>
      <c r="D91" s="1"/>
      <c r="E91" s="1"/>
      <c r="F91" s="1"/>
      <c r="G91" s="1"/>
      <c r="J91" s="2"/>
      <c r="R91" s="2"/>
      <c r="T91" s="2"/>
    </row>
    <row r="92" spans="2:20">
      <c r="B92" s="1"/>
      <c r="C92" s="4"/>
      <c r="D92" s="1"/>
      <c r="E92" s="1"/>
      <c r="F92" s="1"/>
      <c r="G92" s="1"/>
      <c r="J92" s="2"/>
      <c r="R92" s="2"/>
      <c r="T92" s="2"/>
    </row>
    <row r="93" spans="2:20">
      <c r="B93" s="1"/>
      <c r="C93" s="4"/>
      <c r="D93" s="1"/>
      <c r="E93" s="1"/>
      <c r="F93" s="1"/>
      <c r="G93" s="1"/>
      <c r="J93" s="2"/>
      <c r="R93" s="2"/>
      <c r="T93" s="2"/>
    </row>
    <row r="94" spans="2:20">
      <c r="B94" s="1"/>
      <c r="C94" s="4"/>
      <c r="D94" s="1"/>
      <c r="E94" s="1"/>
      <c r="F94" s="1"/>
      <c r="G94" s="1"/>
      <c r="J94" s="2"/>
      <c r="R94" s="2"/>
      <c r="T94" s="2"/>
    </row>
    <row r="95" spans="2:20">
      <c r="B95" s="1"/>
      <c r="C95" s="4"/>
      <c r="D95" s="1"/>
      <c r="E95" s="1"/>
      <c r="F95" s="1"/>
      <c r="G95" s="1"/>
      <c r="J95" s="2"/>
      <c r="R95" s="2"/>
      <c r="T95" s="2"/>
    </row>
    <row r="96" spans="2:20">
      <c r="B96" s="1"/>
      <c r="C96" s="4"/>
      <c r="D96" s="1"/>
      <c r="E96" s="1"/>
      <c r="F96" s="1"/>
      <c r="G96" s="1"/>
      <c r="J96" s="2"/>
      <c r="R96" s="2"/>
      <c r="T96" s="2"/>
    </row>
    <row r="97" spans="2:20">
      <c r="B97" s="1"/>
      <c r="C97" s="4"/>
      <c r="D97" s="1"/>
      <c r="E97" s="1"/>
      <c r="F97" s="1"/>
      <c r="G97" s="1"/>
      <c r="J97" s="2"/>
      <c r="R97" s="2"/>
      <c r="T97" s="2"/>
    </row>
    <row r="98" spans="2:20">
      <c r="B98" s="1"/>
      <c r="C98" s="4"/>
      <c r="D98" s="1"/>
      <c r="E98" s="1"/>
      <c r="F98" s="1"/>
      <c r="G98" s="1"/>
      <c r="J98" s="2"/>
      <c r="R98" s="2"/>
      <c r="T98" s="2"/>
    </row>
    <row r="99" spans="2:20">
      <c r="B99" s="1"/>
      <c r="C99" s="4"/>
      <c r="D99" s="1"/>
      <c r="E99" s="1"/>
      <c r="F99" s="1"/>
      <c r="G99" s="1"/>
      <c r="J99" s="2"/>
      <c r="R99" s="2"/>
      <c r="T99" s="2"/>
    </row>
    <row r="100" spans="2:20">
      <c r="B100" s="1"/>
      <c r="C100" s="4"/>
      <c r="D100" s="1"/>
      <c r="E100" s="1"/>
      <c r="F100" s="1"/>
      <c r="G100" s="1"/>
      <c r="J100" s="2"/>
      <c r="R100" s="2"/>
      <c r="T100" s="2"/>
    </row>
    <row r="101" spans="2:20">
      <c r="B101" s="1"/>
      <c r="C101" s="4"/>
      <c r="D101" s="1"/>
      <c r="E101" s="1"/>
      <c r="F101" s="1"/>
      <c r="G101" s="1"/>
      <c r="J101" s="2"/>
      <c r="R101" s="2"/>
      <c r="T101" s="2"/>
    </row>
    <row r="102" spans="2:20">
      <c r="B102" s="1"/>
      <c r="C102" s="4"/>
      <c r="D102" s="1"/>
      <c r="E102" s="1"/>
      <c r="F102" s="1"/>
      <c r="G102" s="1"/>
      <c r="J102" s="2"/>
      <c r="R102" s="2"/>
      <c r="T102" s="2"/>
    </row>
    <row r="103" spans="2:20">
      <c r="B103" s="1"/>
      <c r="C103" s="4"/>
      <c r="D103" s="1"/>
      <c r="E103" s="1"/>
      <c r="F103" s="1"/>
      <c r="G103" s="1"/>
      <c r="J103" s="2"/>
      <c r="R103" s="2"/>
      <c r="T103" s="2"/>
    </row>
    <row r="104" spans="2:20">
      <c r="B104" s="1"/>
      <c r="C104" s="4"/>
      <c r="D104" s="1"/>
      <c r="E104" s="1"/>
      <c r="F104" s="1"/>
      <c r="G104" s="1"/>
      <c r="J104" s="2"/>
      <c r="R104" s="2"/>
      <c r="T104" s="2"/>
    </row>
    <row r="105" spans="2:20">
      <c r="B105" s="1"/>
      <c r="C105" s="4"/>
      <c r="D105" s="1"/>
      <c r="E105" s="1"/>
      <c r="F105" s="1"/>
      <c r="G105" s="1"/>
      <c r="J105" s="2"/>
      <c r="R105" s="2"/>
      <c r="T105" s="2"/>
    </row>
    <row r="106" spans="2:20">
      <c r="B106" s="1"/>
      <c r="C106" s="4"/>
      <c r="D106" s="1"/>
      <c r="E106" s="1"/>
      <c r="F106" s="1"/>
      <c r="G106" s="1"/>
      <c r="J106" s="2"/>
      <c r="R106" s="2"/>
      <c r="T106" s="2"/>
    </row>
    <row r="107" spans="2:20">
      <c r="B107" s="1"/>
      <c r="C107" s="4"/>
      <c r="D107" s="1"/>
      <c r="E107" s="1"/>
      <c r="F107" s="1"/>
      <c r="G107" s="1"/>
      <c r="J107" s="2"/>
      <c r="R107" s="2"/>
      <c r="T107" s="2"/>
    </row>
    <row r="108" spans="2:20">
      <c r="B108" s="1"/>
      <c r="C108" s="4"/>
      <c r="D108" s="1"/>
      <c r="E108" s="1"/>
      <c r="F108" s="1"/>
      <c r="G108" s="1"/>
      <c r="J108" s="2"/>
      <c r="R108" s="2"/>
      <c r="T108" s="2"/>
    </row>
    <row r="109" spans="2:20">
      <c r="B109" s="1"/>
      <c r="C109" s="4"/>
      <c r="D109" s="1"/>
      <c r="E109" s="1"/>
      <c r="F109" s="1"/>
      <c r="G109" s="1"/>
      <c r="J109" s="2"/>
      <c r="R109" s="2"/>
      <c r="T109" s="2"/>
    </row>
    <row r="110" spans="2:20">
      <c r="B110" s="1"/>
      <c r="C110" s="4"/>
      <c r="D110" s="1"/>
      <c r="E110" s="1"/>
      <c r="F110" s="1"/>
      <c r="G110" s="1"/>
      <c r="J110" s="2"/>
      <c r="R110" s="2"/>
      <c r="T110" s="2"/>
    </row>
    <row r="111" spans="2:20">
      <c r="B111" s="1"/>
      <c r="C111" s="4"/>
      <c r="D111" s="1"/>
      <c r="E111" s="1"/>
      <c r="F111" s="1"/>
      <c r="G111" s="1"/>
      <c r="J111" s="2"/>
      <c r="R111" s="2"/>
      <c r="T111" s="2"/>
    </row>
    <row r="112" spans="2:20">
      <c r="B112" s="1"/>
      <c r="C112" s="4"/>
      <c r="D112" s="1"/>
      <c r="E112" s="1"/>
      <c r="F112" s="1"/>
      <c r="G112" s="1"/>
      <c r="J112" s="2"/>
      <c r="R112" s="2"/>
      <c r="T112" s="2"/>
    </row>
    <row r="113" spans="2:20">
      <c r="B113" s="1"/>
      <c r="C113" s="4"/>
      <c r="D113" s="1"/>
      <c r="E113" s="1"/>
      <c r="F113" s="1"/>
      <c r="G113" s="1"/>
      <c r="J113" s="2"/>
      <c r="R113" s="2"/>
      <c r="T113" s="2"/>
    </row>
    <row r="114" spans="2:20">
      <c r="B114" s="1"/>
      <c r="C114" s="4"/>
      <c r="D114" s="1"/>
      <c r="E114" s="1"/>
      <c r="F114" s="1"/>
      <c r="G114" s="1"/>
      <c r="J114" s="2"/>
      <c r="R114" s="2"/>
      <c r="T114" s="2"/>
    </row>
    <row r="115" spans="2:20">
      <c r="B115" s="1"/>
      <c r="C115" s="4"/>
      <c r="D115" s="1"/>
      <c r="E115" s="1"/>
      <c r="F115" s="1"/>
      <c r="G115" s="1"/>
      <c r="J115" s="2"/>
      <c r="R115" s="2"/>
      <c r="T115" s="2"/>
    </row>
    <row r="116" spans="2:20">
      <c r="B116" s="1"/>
      <c r="C116" s="4"/>
      <c r="D116" s="1"/>
      <c r="E116" s="1"/>
      <c r="F116" s="1"/>
      <c r="G116" s="1"/>
      <c r="J116" s="2"/>
      <c r="R116" s="2"/>
      <c r="T116" s="2"/>
    </row>
    <row r="117" spans="2:20">
      <c r="B117" s="1"/>
      <c r="C117" s="4"/>
      <c r="D117" s="1"/>
      <c r="E117" s="1"/>
      <c r="F117" s="1"/>
      <c r="G117" s="1"/>
      <c r="J117" s="2"/>
      <c r="R117" s="2"/>
      <c r="T117" s="2"/>
    </row>
    <row r="118" spans="2:20">
      <c r="B118" s="1"/>
      <c r="C118" s="4"/>
      <c r="D118" s="1"/>
      <c r="E118" s="1"/>
      <c r="F118" s="1"/>
      <c r="G118" s="1"/>
      <c r="J118" s="2"/>
      <c r="R118" s="2"/>
      <c r="T118" s="2"/>
    </row>
    <row r="119" spans="2:20">
      <c r="B119" s="1"/>
      <c r="C119" s="4"/>
      <c r="D119" s="1"/>
      <c r="E119" s="1"/>
      <c r="F119" s="1"/>
      <c r="G119" s="1"/>
      <c r="J119" s="2"/>
      <c r="R119" s="2"/>
      <c r="T119" s="2"/>
    </row>
    <row r="120" spans="2:20">
      <c r="B120" s="1"/>
      <c r="C120" s="4"/>
      <c r="D120" s="1"/>
      <c r="E120" s="1"/>
      <c r="F120" s="1"/>
      <c r="G120" s="1"/>
      <c r="J120" s="2"/>
      <c r="R120" s="2"/>
      <c r="T120" s="2"/>
    </row>
    <row r="121" spans="2:20">
      <c r="B121" s="1"/>
      <c r="C121" s="4"/>
      <c r="D121" s="1"/>
      <c r="E121" s="1"/>
      <c r="F121" s="1"/>
      <c r="G121" s="1"/>
      <c r="J121" s="2"/>
      <c r="R121" s="2"/>
      <c r="T121" s="2"/>
    </row>
    <row r="122" spans="2:20">
      <c r="B122" s="1"/>
      <c r="C122" s="4"/>
      <c r="D122" s="1"/>
      <c r="E122" s="1"/>
      <c r="F122" s="1"/>
      <c r="G122" s="1"/>
      <c r="J122" s="2"/>
      <c r="R122" s="2"/>
      <c r="T122" s="2"/>
    </row>
    <row r="123" spans="2:20">
      <c r="B123" s="1"/>
      <c r="C123" s="4"/>
      <c r="D123" s="1"/>
      <c r="E123" s="1"/>
      <c r="F123" s="1"/>
      <c r="G123" s="1"/>
      <c r="J123" s="2"/>
      <c r="R123" s="2"/>
      <c r="T123" s="2"/>
    </row>
    <row r="124" spans="2:20">
      <c r="B124" s="1"/>
      <c r="C124" s="4"/>
      <c r="D124" s="1"/>
      <c r="E124" s="1"/>
      <c r="F124" s="1"/>
      <c r="G124" s="1"/>
      <c r="J124" s="2"/>
      <c r="R124" s="2"/>
      <c r="T124" s="2"/>
    </row>
    <row r="125" spans="2:20">
      <c r="B125" s="1"/>
      <c r="C125" s="4"/>
      <c r="D125" s="1"/>
      <c r="E125" s="1"/>
      <c r="F125" s="1"/>
      <c r="G125" s="1"/>
      <c r="J125" s="2"/>
      <c r="R125" s="2"/>
      <c r="T125" s="2"/>
    </row>
    <row r="126" spans="2:20">
      <c r="B126" s="1"/>
      <c r="C126" s="4"/>
      <c r="D126" s="1"/>
      <c r="E126" s="1"/>
      <c r="F126" s="1"/>
      <c r="G126" s="1"/>
      <c r="J126" s="2"/>
      <c r="R126" s="2"/>
      <c r="T126" s="2"/>
    </row>
    <row r="127" spans="2:20">
      <c r="B127" s="1"/>
      <c r="C127" s="4"/>
      <c r="D127" s="1"/>
      <c r="E127" s="1"/>
      <c r="F127" s="1"/>
      <c r="G127" s="1"/>
      <c r="J127" s="2"/>
      <c r="R127" s="2"/>
      <c r="T127" s="2"/>
    </row>
    <row r="128" spans="2:20">
      <c r="B128" s="1"/>
      <c r="C128" s="4"/>
      <c r="D128" s="1"/>
      <c r="E128" s="1"/>
      <c r="F128" s="1"/>
      <c r="G128" s="1"/>
      <c r="J128" s="2"/>
      <c r="R128" s="2"/>
      <c r="T128" s="2"/>
    </row>
    <row r="129" spans="2:20">
      <c r="B129" s="1"/>
      <c r="C129" s="4"/>
      <c r="D129" s="1"/>
      <c r="E129" s="1"/>
      <c r="F129" s="1"/>
      <c r="G129" s="1"/>
      <c r="J129" s="2"/>
      <c r="R129" s="2"/>
      <c r="T129" s="2"/>
    </row>
    <row r="130" spans="2:20">
      <c r="B130" s="1"/>
      <c r="C130" s="4"/>
      <c r="D130" s="1"/>
      <c r="E130" s="1"/>
      <c r="F130" s="1"/>
      <c r="G130" s="1"/>
      <c r="J130" s="2"/>
      <c r="R130" s="2"/>
      <c r="T130" s="2"/>
    </row>
    <row r="131" spans="2:20">
      <c r="B131" s="1"/>
      <c r="C131" s="4"/>
      <c r="D131" s="1"/>
      <c r="E131" s="1"/>
      <c r="F131" s="1"/>
      <c r="G131" s="1"/>
      <c r="J131" s="2"/>
      <c r="R131" s="2"/>
      <c r="T131" s="2"/>
    </row>
    <row r="132" spans="2:20">
      <c r="B132" s="1"/>
      <c r="C132" s="4"/>
      <c r="D132" s="1"/>
      <c r="E132" s="1"/>
      <c r="F132" s="1"/>
      <c r="G132" s="1"/>
      <c r="J132" s="2"/>
      <c r="R132" s="2"/>
      <c r="T132" s="2"/>
    </row>
    <row r="133" spans="2:20">
      <c r="B133" s="1"/>
      <c r="C133" s="4"/>
      <c r="D133" s="1"/>
      <c r="E133" s="1"/>
      <c r="F133" s="1"/>
      <c r="G133" s="1"/>
      <c r="J133" s="2"/>
      <c r="R133" s="2"/>
      <c r="T133" s="2"/>
    </row>
    <row r="134" spans="2:20">
      <c r="B134" s="1"/>
      <c r="C134" s="4"/>
      <c r="D134" s="1"/>
      <c r="E134" s="1"/>
      <c r="F134" s="1"/>
      <c r="G134" s="1"/>
      <c r="J134" s="2"/>
      <c r="R134" s="2"/>
      <c r="T134" s="2"/>
    </row>
    <row r="135" spans="2:20">
      <c r="B135" s="1"/>
      <c r="C135" s="4"/>
      <c r="D135" s="1"/>
      <c r="E135" s="1"/>
      <c r="F135" s="1"/>
      <c r="G135" s="1"/>
      <c r="J135" s="2"/>
      <c r="R135" s="2"/>
      <c r="T135" s="2"/>
    </row>
    <row r="136" spans="2:20">
      <c r="B136" s="1"/>
      <c r="C136" s="4"/>
      <c r="D136" s="1"/>
      <c r="E136" s="1"/>
      <c r="F136" s="1"/>
      <c r="G136" s="1"/>
      <c r="J136" s="2"/>
      <c r="R136" s="2"/>
      <c r="T136" s="2"/>
    </row>
    <row r="137" spans="2:20">
      <c r="B137" s="1"/>
      <c r="C137" s="4"/>
      <c r="D137" s="1"/>
      <c r="E137" s="1"/>
      <c r="F137" s="1"/>
      <c r="G137" s="1"/>
      <c r="J137" s="2"/>
      <c r="R137" s="2"/>
      <c r="T137" s="2"/>
    </row>
    <row r="138" spans="2:20">
      <c r="B138" s="1"/>
      <c r="C138" s="4"/>
      <c r="D138" s="1"/>
      <c r="E138" s="1"/>
      <c r="F138" s="1"/>
      <c r="G138" s="1"/>
      <c r="J138" s="2"/>
      <c r="R138" s="2"/>
      <c r="T138" s="2"/>
    </row>
    <row r="139" spans="2:20">
      <c r="B139" s="1"/>
      <c r="C139" s="4"/>
      <c r="D139" s="1"/>
      <c r="E139" s="1"/>
      <c r="F139" s="1"/>
      <c r="G139" s="1"/>
      <c r="J139" s="2"/>
      <c r="R139" s="2"/>
      <c r="T139" s="2"/>
    </row>
    <row r="140" spans="2:20">
      <c r="B140" s="1"/>
      <c r="C140" s="4"/>
      <c r="D140" s="1"/>
      <c r="E140" s="1"/>
      <c r="F140" s="1"/>
      <c r="G140" s="1"/>
      <c r="J140" s="2"/>
      <c r="R140" s="2"/>
      <c r="T140" s="2"/>
    </row>
    <row r="141" spans="2:20">
      <c r="B141" s="1"/>
      <c r="C141" s="4"/>
      <c r="D141" s="1"/>
      <c r="E141" s="1"/>
      <c r="F141" s="1"/>
      <c r="G141" s="1"/>
      <c r="J141" s="2"/>
      <c r="R141" s="2"/>
      <c r="T141" s="2"/>
    </row>
    <row r="142" spans="2:20">
      <c r="B142" s="1"/>
      <c r="C142" s="4"/>
      <c r="D142" s="1"/>
      <c r="E142" s="1"/>
      <c r="F142" s="1"/>
      <c r="G142" s="1"/>
      <c r="J142" s="2"/>
      <c r="R142" s="2"/>
      <c r="T142" s="2"/>
    </row>
    <row r="143" spans="2:20">
      <c r="B143" s="1"/>
      <c r="C143" s="4"/>
      <c r="D143" s="1"/>
      <c r="E143" s="1"/>
      <c r="F143" s="1"/>
      <c r="G143" s="1"/>
      <c r="J143" s="2"/>
      <c r="R143" s="2"/>
      <c r="T143" s="2"/>
    </row>
    <row r="144" spans="2:20">
      <c r="B144" s="1"/>
      <c r="C144" s="4"/>
      <c r="D144" s="1"/>
      <c r="E144" s="1"/>
      <c r="F144" s="1"/>
      <c r="G144" s="1"/>
      <c r="J144" s="2"/>
      <c r="R144" s="2"/>
      <c r="T144" s="2"/>
    </row>
    <row r="145" spans="2:20">
      <c r="B145" s="1"/>
      <c r="C145" s="4"/>
      <c r="D145" s="1"/>
      <c r="E145" s="1"/>
      <c r="F145" s="1"/>
      <c r="G145" s="1"/>
      <c r="J145" s="2"/>
      <c r="R145" s="2"/>
      <c r="T145" s="2"/>
    </row>
    <row r="146" spans="2:20">
      <c r="B146" s="1"/>
      <c r="C146" s="4"/>
      <c r="D146" s="1"/>
      <c r="E146" s="1"/>
      <c r="F146" s="1"/>
      <c r="G146" s="1"/>
      <c r="J146" s="2"/>
      <c r="R146" s="2"/>
      <c r="T146" s="2"/>
    </row>
    <row r="147" spans="2:20">
      <c r="B147" s="1"/>
      <c r="C147" s="4"/>
      <c r="D147" s="1"/>
      <c r="E147" s="1"/>
      <c r="F147" s="1"/>
      <c r="G147" s="1"/>
      <c r="J147" s="2"/>
      <c r="R147" s="2"/>
      <c r="T147" s="2"/>
    </row>
    <row r="148" spans="2:20">
      <c r="B148" s="1"/>
      <c r="C148" s="4"/>
      <c r="D148" s="1"/>
      <c r="E148" s="1"/>
      <c r="F148" s="1"/>
      <c r="G148" s="1"/>
      <c r="J148" s="2"/>
      <c r="R148" s="2"/>
      <c r="T148" s="2"/>
    </row>
    <row r="149" spans="2:20">
      <c r="B149" s="1"/>
      <c r="C149" s="4"/>
      <c r="D149" s="1"/>
      <c r="E149" s="1"/>
      <c r="F149" s="1"/>
      <c r="G149" s="1"/>
      <c r="J149" s="2"/>
      <c r="R149" s="2"/>
      <c r="T149" s="2"/>
    </row>
    <row r="150" spans="2:20">
      <c r="B150" s="1"/>
      <c r="C150" s="4"/>
      <c r="D150" s="1"/>
      <c r="E150" s="1"/>
      <c r="F150" s="1"/>
      <c r="G150" s="1"/>
      <c r="J150" s="2"/>
      <c r="R150" s="2"/>
      <c r="T150" s="2"/>
    </row>
    <row r="151" spans="2:20">
      <c r="B151" s="1"/>
      <c r="C151" s="4"/>
      <c r="D151" s="1"/>
      <c r="E151" s="1"/>
      <c r="F151" s="1"/>
      <c r="G151" s="1"/>
      <c r="J151" s="2"/>
      <c r="R151" s="2"/>
      <c r="T151" s="2"/>
    </row>
    <row r="152" spans="2:20">
      <c r="B152" s="1"/>
      <c r="C152" s="4"/>
      <c r="D152" s="1"/>
      <c r="E152" s="1"/>
      <c r="F152" s="1"/>
      <c r="G152" s="1"/>
      <c r="J152" s="2"/>
      <c r="R152" s="2"/>
      <c r="T152" s="2"/>
    </row>
    <row r="153" spans="2:20">
      <c r="B153" s="1"/>
      <c r="C153" s="4"/>
      <c r="D153" s="1"/>
      <c r="E153" s="1"/>
      <c r="F153" s="1"/>
      <c r="G153" s="1"/>
      <c r="J153" s="2"/>
      <c r="R153" s="2"/>
      <c r="T153" s="2"/>
    </row>
    <row r="154" spans="2:20">
      <c r="B154" s="1"/>
      <c r="C154" s="4"/>
      <c r="D154" s="1"/>
      <c r="E154" s="1"/>
      <c r="F154" s="1"/>
      <c r="G154" s="1"/>
      <c r="J154" s="2"/>
      <c r="R154" s="2"/>
      <c r="T154" s="2"/>
    </row>
    <row r="155" spans="2:20">
      <c r="B155" s="1"/>
      <c r="C155" s="4"/>
      <c r="D155" s="1"/>
      <c r="E155" s="1"/>
      <c r="F155" s="1"/>
      <c r="G155" s="1"/>
      <c r="J155" s="2"/>
      <c r="R155" s="2"/>
      <c r="T155" s="2"/>
    </row>
    <row r="156" spans="2:20">
      <c r="B156" s="1"/>
      <c r="C156" s="4"/>
      <c r="D156" s="1"/>
      <c r="E156" s="1"/>
      <c r="F156" s="1"/>
      <c r="G156" s="1"/>
      <c r="J156" s="2"/>
      <c r="R156" s="2"/>
      <c r="T156" s="2"/>
    </row>
    <row r="157" spans="2:20">
      <c r="B157" s="1"/>
      <c r="C157" s="4"/>
      <c r="D157" s="1"/>
      <c r="E157" s="1"/>
      <c r="F157" s="1"/>
      <c r="G157" s="1"/>
      <c r="J157" s="2"/>
      <c r="R157" s="2"/>
      <c r="T157" s="2"/>
    </row>
    <row r="158" spans="2:20">
      <c r="B158" s="1"/>
      <c r="C158" s="4"/>
      <c r="D158" s="1"/>
      <c r="E158" s="1"/>
      <c r="F158" s="1"/>
      <c r="G158" s="1"/>
      <c r="J158" s="2"/>
      <c r="R158" s="2"/>
      <c r="T158" s="2"/>
    </row>
    <row r="159" spans="2:20">
      <c r="B159" s="1"/>
      <c r="C159" s="4"/>
      <c r="D159" s="1"/>
      <c r="E159" s="1"/>
      <c r="F159" s="1"/>
      <c r="G159" s="1"/>
      <c r="J159" s="2"/>
      <c r="R159" s="2"/>
      <c r="T159" s="2"/>
    </row>
    <row r="160" spans="2:20">
      <c r="B160" s="1"/>
      <c r="C160" s="4"/>
      <c r="D160" s="1"/>
      <c r="E160" s="1"/>
      <c r="F160" s="1"/>
      <c r="G160" s="1"/>
      <c r="J160" s="2"/>
      <c r="R160" s="2"/>
      <c r="T160" s="2"/>
    </row>
    <row r="161" spans="2:20">
      <c r="B161" s="1"/>
      <c r="C161" s="4"/>
      <c r="D161" s="1"/>
      <c r="E161" s="1"/>
      <c r="F161" s="1"/>
      <c r="G161" s="1"/>
      <c r="J161" s="2"/>
      <c r="R161" s="2"/>
      <c r="T161" s="2"/>
    </row>
    <row r="162" spans="2:20">
      <c r="B162" s="1"/>
      <c r="C162" s="4"/>
      <c r="D162" s="1"/>
      <c r="E162" s="1"/>
      <c r="F162" s="1"/>
      <c r="G162" s="1"/>
      <c r="J162" s="2"/>
      <c r="R162" s="2"/>
      <c r="T162" s="2"/>
    </row>
    <row r="163" spans="2:20">
      <c r="B163" s="1"/>
      <c r="C163" s="4"/>
      <c r="D163" s="1"/>
      <c r="E163" s="1"/>
      <c r="F163" s="1"/>
      <c r="G163" s="1"/>
      <c r="J163" s="2"/>
      <c r="R163" s="2"/>
      <c r="T163" s="2"/>
    </row>
    <row r="164" spans="2:20">
      <c r="B164" s="1"/>
      <c r="C164" s="4"/>
      <c r="D164" s="1"/>
      <c r="E164" s="1"/>
      <c r="F164" s="1"/>
      <c r="G164" s="1"/>
      <c r="J164" s="2"/>
      <c r="R164" s="2"/>
      <c r="T164" s="2"/>
    </row>
    <row r="165" spans="2:20">
      <c r="B165" s="1"/>
      <c r="C165" s="4"/>
      <c r="D165" s="1"/>
      <c r="E165" s="1"/>
      <c r="F165" s="1"/>
      <c r="G165" s="1"/>
      <c r="J165" s="2"/>
      <c r="R165" s="2"/>
      <c r="T165" s="2"/>
    </row>
    <row r="166" spans="2:20">
      <c r="B166" s="1"/>
      <c r="C166" s="4"/>
      <c r="D166" s="1"/>
      <c r="E166" s="1"/>
      <c r="F166" s="1"/>
      <c r="G166" s="1"/>
      <c r="J166" s="2"/>
      <c r="R166" s="2"/>
      <c r="T166" s="2"/>
    </row>
    <row r="167" spans="2:20">
      <c r="B167" s="1"/>
      <c r="C167" s="4"/>
      <c r="D167" s="1"/>
      <c r="E167" s="1"/>
      <c r="F167" s="1"/>
      <c r="G167" s="1"/>
      <c r="J167" s="2"/>
      <c r="R167" s="2"/>
      <c r="T167" s="2"/>
    </row>
    <row r="168" spans="2:20">
      <c r="B168" s="1"/>
      <c r="C168" s="4"/>
      <c r="D168" s="1"/>
      <c r="E168" s="1"/>
      <c r="F168" s="1"/>
      <c r="G168" s="1"/>
      <c r="J168" s="2"/>
      <c r="R168" s="2"/>
      <c r="T168" s="2"/>
    </row>
    <row r="169" spans="2:20">
      <c r="B169" s="1"/>
      <c r="C169" s="4"/>
      <c r="D169" s="1"/>
      <c r="E169" s="1"/>
      <c r="F169" s="1"/>
      <c r="G169" s="1"/>
      <c r="J169" s="2"/>
      <c r="R169" s="2"/>
      <c r="T169" s="2"/>
    </row>
    <row r="170" spans="2:20">
      <c r="B170" s="1"/>
      <c r="C170" s="4"/>
      <c r="D170" s="1"/>
      <c r="E170" s="1"/>
      <c r="F170" s="1"/>
      <c r="G170" s="1"/>
      <c r="J170" s="2"/>
      <c r="R170" s="2"/>
      <c r="T170" s="2"/>
    </row>
    <row r="171" spans="2:20">
      <c r="B171" s="1"/>
      <c r="C171" s="4"/>
      <c r="D171" s="1"/>
      <c r="E171" s="1"/>
      <c r="F171" s="1"/>
      <c r="G171" s="1"/>
      <c r="J171" s="2"/>
      <c r="R171" s="2"/>
      <c r="T171" s="2"/>
    </row>
    <row r="172" spans="2:20">
      <c r="B172" s="1"/>
      <c r="C172" s="4"/>
      <c r="D172" s="1"/>
      <c r="E172" s="1"/>
      <c r="F172" s="1"/>
      <c r="G172" s="1"/>
      <c r="J172" s="2"/>
      <c r="R172" s="2"/>
      <c r="T172" s="2"/>
    </row>
    <row r="173" spans="2:20">
      <c r="B173" s="1"/>
      <c r="C173" s="4"/>
      <c r="D173" s="1"/>
      <c r="E173" s="1"/>
      <c r="F173" s="1"/>
      <c r="G173" s="1"/>
      <c r="J173" s="2"/>
      <c r="R173" s="2"/>
      <c r="T173" s="2"/>
    </row>
    <row r="174" spans="2:20">
      <c r="B174" s="1"/>
      <c r="C174" s="4"/>
      <c r="D174" s="1"/>
      <c r="E174" s="1"/>
      <c r="F174" s="1"/>
      <c r="G174" s="1"/>
      <c r="J174" s="2"/>
      <c r="R174" s="2"/>
      <c r="T174" s="2"/>
    </row>
    <row r="175" spans="2:20">
      <c r="B175" s="1"/>
      <c r="C175" s="4"/>
      <c r="D175" s="1"/>
      <c r="E175" s="1"/>
      <c r="F175" s="1"/>
      <c r="G175" s="1"/>
      <c r="J175" s="2"/>
      <c r="R175" s="2"/>
      <c r="T175" s="2"/>
    </row>
    <row r="176" spans="2:20">
      <c r="B176" s="1"/>
      <c r="C176" s="4"/>
      <c r="D176" s="1"/>
      <c r="E176" s="1"/>
      <c r="F176" s="1"/>
      <c r="G176" s="1"/>
      <c r="J176" s="2"/>
      <c r="R176" s="2"/>
      <c r="T176" s="2"/>
    </row>
    <row r="177" spans="2:20">
      <c r="B177" s="1"/>
      <c r="C177" s="4"/>
      <c r="D177" s="1"/>
      <c r="E177" s="1"/>
      <c r="F177" s="1"/>
      <c r="G177" s="1"/>
      <c r="J177" s="2"/>
      <c r="R177" s="2"/>
      <c r="T177" s="2"/>
    </row>
    <row r="178" spans="2:20">
      <c r="B178" s="1"/>
      <c r="C178" s="4"/>
      <c r="D178" s="1"/>
      <c r="E178" s="1"/>
      <c r="F178" s="1"/>
      <c r="G178" s="1"/>
      <c r="J178" s="2"/>
      <c r="R178" s="2"/>
      <c r="T178" s="2"/>
    </row>
    <row r="179" spans="2:20">
      <c r="B179" s="1"/>
      <c r="C179" s="4"/>
      <c r="D179" s="1"/>
      <c r="E179" s="1"/>
      <c r="F179" s="1"/>
      <c r="G179" s="1"/>
      <c r="J179" s="2"/>
      <c r="R179" s="2"/>
      <c r="T179" s="2"/>
    </row>
    <row r="180" spans="2:20">
      <c r="B180" s="1"/>
      <c r="C180" s="4"/>
      <c r="D180" s="1"/>
      <c r="E180" s="1"/>
      <c r="F180" s="1"/>
      <c r="G180" s="1"/>
      <c r="J180" s="2"/>
      <c r="R180" s="2"/>
      <c r="T180" s="2"/>
    </row>
    <row r="181" spans="2:20">
      <c r="B181" s="1"/>
      <c r="C181" s="4"/>
      <c r="D181" s="1"/>
      <c r="E181" s="1"/>
      <c r="F181" s="1"/>
      <c r="G181" s="1"/>
      <c r="J181" s="2"/>
      <c r="R181" s="2"/>
      <c r="T181" s="2"/>
    </row>
    <row r="182" spans="2:20">
      <c r="B182" s="1"/>
      <c r="C182" s="4"/>
      <c r="D182" s="1"/>
      <c r="E182" s="1"/>
      <c r="F182" s="1"/>
      <c r="G182" s="1"/>
      <c r="J182" s="2"/>
      <c r="R182" s="2"/>
      <c r="T182" s="2"/>
    </row>
    <row r="183" spans="2:20">
      <c r="B183" s="1"/>
      <c r="C183" s="4"/>
      <c r="D183" s="1"/>
      <c r="E183" s="1"/>
      <c r="F183" s="1"/>
      <c r="G183" s="1"/>
      <c r="J183" s="2"/>
      <c r="R183" s="2"/>
      <c r="T183" s="2"/>
    </row>
    <row r="184" spans="2:20">
      <c r="B184" s="1"/>
      <c r="C184" s="4"/>
      <c r="D184" s="1"/>
      <c r="E184" s="1"/>
      <c r="F184" s="1"/>
      <c r="G184" s="1"/>
      <c r="J184" s="2"/>
      <c r="R184" s="2"/>
      <c r="T184" s="2"/>
    </row>
    <row r="185" spans="2:20">
      <c r="B185" s="1"/>
      <c r="C185" s="4"/>
      <c r="D185" s="1"/>
      <c r="E185" s="1"/>
      <c r="F185" s="1"/>
      <c r="G185" s="1"/>
      <c r="J185" s="2"/>
      <c r="R185" s="2"/>
      <c r="T185" s="2"/>
    </row>
    <row r="186" spans="2:20">
      <c r="B186" s="1"/>
      <c r="C186" s="4"/>
      <c r="D186" s="1"/>
      <c r="E186" s="1"/>
      <c r="F186" s="1"/>
      <c r="G186" s="1"/>
      <c r="J186" s="2"/>
      <c r="R186" s="2"/>
      <c r="T186" s="2"/>
    </row>
    <row r="187" spans="2:20">
      <c r="B187" s="1"/>
      <c r="C187" s="4"/>
      <c r="D187" s="1"/>
      <c r="E187" s="1"/>
      <c r="F187" s="1"/>
      <c r="G187" s="1"/>
      <c r="J187" s="2"/>
      <c r="R187" s="2"/>
      <c r="T187" s="2"/>
    </row>
    <row r="188" spans="2:20">
      <c r="B188" s="1"/>
      <c r="C188" s="4"/>
      <c r="D188" s="1"/>
      <c r="E188" s="1"/>
      <c r="F188" s="1"/>
      <c r="G188" s="1"/>
      <c r="J188" s="2"/>
      <c r="R188" s="2"/>
      <c r="T188" s="2"/>
    </row>
    <row r="189" spans="2:20">
      <c r="B189" s="1"/>
      <c r="C189" s="4"/>
      <c r="D189" s="1"/>
      <c r="E189" s="1"/>
      <c r="F189" s="1"/>
      <c r="G189" s="1"/>
      <c r="J189" s="2"/>
      <c r="R189" s="2"/>
      <c r="T189" s="2"/>
    </row>
    <row r="190" spans="2:20">
      <c r="B190" s="1"/>
      <c r="C190" s="4"/>
      <c r="D190" s="1"/>
      <c r="E190" s="1"/>
      <c r="F190" s="1"/>
      <c r="G190" s="1"/>
      <c r="J190" s="2"/>
      <c r="R190" s="2"/>
      <c r="T190" s="2"/>
    </row>
    <row r="191" spans="2:20">
      <c r="B191" s="1"/>
      <c r="C191" s="4"/>
      <c r="D191" s="1"/>
      <c r="E191" s="1"/>
      <c r="F191" s="1"/>
      <c r="G191" s="1"/>
      <c r="J191" s="2"/>
      <c r="R191" s="2"/>
      <c r="T191" s="2"/>
    </row>
    <row r="192" spans="2:20">
      <c r="B192" s="1"/>
      <c r="C192" s="4"/>
      <c r="D192" s="1"/>
      <c r="E192" s="1"/>
      <c r="F192" s="1"/>
      <c r="G192" s="1"/>
      <c r="J192" s="2"/>
      <c r="R192" s="2"/>
      <c r="T192" s="2"/>
    </row>
    <row r="193" spans="2:20">
      <c r="B193" s="1"/>
      <c r="C193" s="4"/>
      <c r="D193" s="1"/>
      <c r="E193" s="1"/>
      <c r="F193" s="1"/>
      <c r="G193" s="1"/>
      <c r="J193" s="2"/>
      <c r="R193" s="2"/>
      <c r="T193" s="2"/>
    </row>
    <row r="194" spans="2:20">
      <c r="B194" s="1"/>
      <c r="C194" s="4"/>
      <c r="D194" s="1"/>
      <c r="E194" s="1"/>
      <c r="F194" s="1"/>
      <c r="G194" s="1"/>
      <c r="J194" s="2"/>
      <c r="R194" s="2"/>
      <c r="T194" s="2"/>
    </row>
    <row r="195" spans="2:20">
      <c r="B195" s="1"/>
      <c r="C195" s="4"/>
      <c r="D195" s="1"/>
      <c r="E195" s="1"/>
      <c r="F195" s="1"/>
      <c r="G195" s="1"/>
      <c r="J195" s="2"/>
      <c r="R195" s="2"/>
      <c r="T195" s="2"/>
    </row>
    <row r="196" spans="2:20">
      <c r="B196" s="1"/>
      <c r="C196" s="4"/>
      <c r="D196" s="1"/>
      <c r="E196" s="1"/>
      <c r="F196" s="1"/>
      <c r="G196" s="1"/>
      <c r="J196" s="2"/>
      <c r="R196" s="2"/>
      <c r="T196" s="2"/>
    </row>
    <row r="197" spans="2:20">
      <c r="B197" s="1"/>
      <c r="C197" s="4"/>
      <c r="D197" s="1"/>
      <c r="E197" s="1"/>
      <c r="F197" s="1"/>
      <c r="G197" s="1"/>
      <c r="J197" s="2"/>
      <c r="R197" s="2"/>
      <c r="T197" s="2"/>
    </row>
    <row r="198" spans="2:20">
      <c r="B198" s="1"/>
      <c r="C198" s="4"/>
      <c r="D198" s="1"/>
      <c r="E198" s="1"/>
      <c r="F198" s="1"/>
      <c r="G198" s="1"/>
      <c r="J198" s="2"/>
      <c r="R198" s="2"/>
      <c r="T198" s="2"/>
    </row>
    <row r="199" spans="2:20">
      <c r="B199" s="1"/>
      <c r="C199" s="4"/>
      <c r="D199" s="1"/>
      <c r="E199" s="1"/>
      <c r="F199" s="1"/>
      <c r="G199" s="1"/>
      <c r="J199" s="2"/>
      <c r="R199" s="2"/>
      <c r="T199" s="2"/>
    </row>
    <row r="200" spans="2:20">
      <c r="B200" s="1"/>
      <c r="C200" s="4"/>
      <c r="D200" s="1"/>
      <c r="E200" s="1"/>
      <c r="F200" s="1"/>
      <c r="G200" s="1"/>
      <c r="J200" s="2"/>
      <c r="R200" s="2"/>
      <c r="T200" s="2"/>
    </row>
    <row r="201" spans="2:20">
      <c r="B201" s="1"/>
      <c r="C201" s="4"/>
      <c r="D201" s="1"/>
      <c r="E201" s="1"/>
      <c r="F201" s="1"/>
      <c r="G201" s="1"/>
      <c r="J201" s="2"/>
      <c r="R201" s="2"/>
      <c r="T201" s="2"/>
    </row>
    <row r="202" spans="2:20">
      <c r="B202" s="1"/>
      <c r="C202" s="4"/>
      <c r="D202" s="1"/>
      <c r="E202" s="1"/>
      <c r="F202" s="1"/>
      <c r="G202" s="1"/>
      <c r="J202" s="2"/>
      <c r="R202" s="2"/>
      <c r="T202" s="2"/>
    </row>
    <row r="203" spans="2:20">
      <c r="B203" s="1"/>
      <c r="C203" s="4"/>
      <c r="D203" s="1"/>
      <c r="E203" s="1"/>
      <c r="F203" s="1"/>
      <c r="G203" s="1"/>
      <c r="J203" s="2"/>
      <c r="R203" s="2"/>
      <c r="T203" s="2"/>
    </row>
    <row r="204" spans="2:20">
      <c r="B204" s="1"/>
      <c r="C204" s="4"/>
      <c r="D204" s="1"/>
      <c r="E204" s="1"/>
      <c r="F204" s="1"/>
      <c r="G204" s="1"/>
      <c r="J204" s="2"/>
      <c r="R204" s="2"/>
      <c r="T204" s="2"/>
    </row>
    <row r="205" spans="2:20">
      <c r="B205" s="1"/>
      <c r="C205" s="4"/>
      <c r="D205" s="1"/>
      <c r="E205" s="1"/>
      <c r="F205" s="1"/>
      <c r="G205" s="1"/>
      <c r="J205" s="2"/>
      <c r="R205" s="2"/>
      <c r="T205" s="2"/>
    </row>
    <row r="206" spans="2:20">
      <c r="B206" s="1"/>
      <c r="C206" s="4"/>
      <c r="D206" s="1"/>
      <c r="E206" s="1"/>
      <c r="F206" s="1"/>
      <c r="G206" s="1"/>
      <c r="J206" s="2"/>
      <c r="R206" s="2"/>
      <c r="T206" s="2"/>
    </row>
    <row r="207" spans="2:20">
      <c r="B207" s="1"/>
      <c r="C207" s="4"/>
      <c r="D207" s="1"/>
      <c r="E207" s="1"/>
      <c r="F207" s="1"/>
      <c r="G207" s="1"/>
      <c r="J207" s="2"/>
      <c r="R207" s="2"/>
      <c r="T207" s="2"/>
    </row>
    <row r="208" spans="2:20">
      <c r="B208" s="1"/>
      <c r="C208" s="4"/>
      <c r="D208" s="1"/>
      <c r="E208" s="1"/>
      <c r="F208" s="1"/>
      <c r="G208" s="1"/>
      <c r="J208" s="2"/>
      <c r="R208" s="2"/>
      <c r="T208" s="2"/>
    </row>
    <row r="209" spans="2:20">
      <c r="B209" s="1"/>
      <c r="C209" s="4"/>
      <c r="D209" s="1"/>
      <c r="E209" s="1"/>
      <c r="F209" s="1"/>
      <c r="G209" s="1"/>
      <c r="J209" s="2"/>
      <c r="R209" s="2"/>
      <c r="T209" s="2"/>
    </row>
    <row r="210" spans="2:20">
      <c r="B210" s="1"/>
      <c r="C210" s="4"/>
      <c r="D210" s="1"/>
      <c r="E210" s="1"/>
      <c r="F210" s="1"/>
      <c r="G210" s="1"/>
      <c r="J210" s="2"/>
      <c r="R210" s="2"/>
      <c r="T210" s="2"/>
    </row>
    <row r="211" spans="2:20">
      <c r="B211" s="1"/>
      <c r="C211" s="4"/>
      <c r="D211" s="1"/>
      <c r="E211" s="1"/>
      <c r="F211" s="1"/>
      <c r="G211" s="1"/>
      <c r="J211" s="2"/>
      <c r="R211" s="2"/>
      <c r="T211" s="2"/>
    </row>
    <row r="212" spans="2:20">
      <c r="B212" s="1"/>
      <c r="C212" s="4"/>
      <c r="D212" s="1"/>
      <c r="E212" s="1"/>
      <c r="F212" s="1"/>
      <c r="G212" s="1"/>
      <c r="J212" s="2"/>
      <c r="R212" s="2"/>
      <c r="T212" s="2"/>
    </row>
    <row r="213" spans="2:20">
      <c r="B213" s="1"/>
      <c r="C213" s="4"/>
      <c r="D213" s="1"/>
      <c r="E213" s="1"/>
      <c r="F213" s="1"/>
      <c r="G213" s="1"/>
      <c r="J213" s="2"/>
      <c r="R213" s="2"/>
      <c r="T213" s="2"/>
    </row>
    <row r="214" spans="2:20">
      <c r="B214" s="1"/>
      <c r="C214" s="4"/>
      <c r="D214" s="1"/>
      <c r="E214" s="1"/>
      <c r="F214" s="1"/>
      <c r="G214" s="1"/>
      <c r="J214" s="2"/>
      <c r="R214" s="2"/>
      <c r="T214" s="2"/>
    </row>
    <row r="215" spans="2:20">
      <c r="B215" s="1"/>
      <c r="C215" s="4"/>
      <c r="D215" s="1"/>
      <c r="E215" s="1"/>
      <c r="F215" s="1"/>
      <c r="G215" s="1"/>
      <c r="J215" s="2"/>
      <c r="R215" s="2"/>
      <c r="T215" s="2"/>
    </row>
    <row r="216" spans="2:20">
      <c r="B216" s="1"/>
      <c r="C216" s="4"/>
      <c r="D216" s="1"/>
      <c r="E216" s="1"/>
      <c r="F216" s="1"/>
      <c r="G216" s="1"/>
      <c r="J216" s="2"/>
      <c r="R216" s="2"/>
      <c r="T216" s="2"/>
    </row>
    <row r="217" spans="2:20">
      <c r="B217" s="1"/>
      <c r="C217" s="4"/>
      <c r="D217" s="1"/>
      <c r="E217" s="1"/>
      <c r="F217" s="1"/>
      <c r="G217" s="1"/>
      <c r="J217" s="2"/>
      <c r="R217" s="2"/>
      <c r="T217" s="2"/>
    </row>
    <row r="218" spans="2:20">
      <c r="B218" s="1"/>
      <c r="C218" s="4"/>
      <c r="D218" s="1"/>
      <c r="E218" s="1"/>
      <c r="F218" s="1"/>
      <c r="G218" s="1"/>
      <c r="J218" s="2"/>
      <c r="R218" s="2"/>
      <c r="T218" s="2"/>
    </row>
    <row r="219" spans="2:20">
      <c r="B219" s="1"/>
      <c r="C219" s="4"/>
      <c r="D219" s="1"/>
      <c r="E219" s="1"/>
      <c r="F219" s="1"/>
      <c r="G219" s="1"/>
      <c r="J219" s="2"/>
      <c r="R219" s="2"/>
      <c r="T219" s="2"/>
    </row>
    <row r="220" spans="2:20">
      <c r="B220" s="1"/>
      <c r="C220" s="4"/>
      <c r="D220" s="1"/>
      <c r="E220" s="1"/>
      <c r="F220" s="1"/>
      <c r="G220" s="1"/>
      <c r="J220" s="2"/>
      <c r="R220" s="2"/>
      <c r="T220" s="2"/>
    </row>
    <row r="221" spans="2:20">
      <c r="B221" s="1"/>
      <c r="C221" s="4"/>
      <c r="D221" s="1"/>
      <c r="E221" s="1"/>
      <c r="F221" s="1"/>
      <c r="G221" s="1"/>
      <c r="J221" s="2"/>
      <c r="R221" s="2"/>
      <c r="T221" s="2"/>
    </row>
    <row r="222" spans="2:20">
      <c r="B222" s="1"/>
      <c r="C222" s="4"/>
      <c r="D222" s="1"/>
      <c r="E222" s="1"/>
      <c r="F222" s="1"/>
      <c r="G222" s="1"/>
      <c r="J222" s="2"/>
      <c r="R222" s="2"/>
      <c r="T222" s="2"/>
    </row>
    <row r="223" spans="2:20">
      <c r="B223" s="1"/>
      <c r="C223" s="4"/>
      <c r="D223" s="1"/>
      <c r="E223" s="1"/>
      <c r="F223" s="1"/>
      <c r="G223" s="1"/>
      <c r="J223" s="2"/>
      <c r="R223" s="2"/>
      <c r="T223" s="2"/>
    </row>
    <row r="224" spans="2:20">
      <c r="B224" s="1"/>
      <c r="C224" s="4"/>
      <c r="D224" s="1"/>
      <c r="E224" s="1"/>
      <c r="F224" s="1"/>
      <c r="G224" s="1"/>
      <c r="J224" s="2"/>
      <c r="R224" s="2"/>
      <c r="T224" s="2"/>
    </row>
    <row r="225" spans="2:20">
      <c r="B225" s="1"/>
      <c r="C225" s="4"/>
      <c r="D225" s="1"/>
      <c r="E225" s="1"/>
      <c r="F225" s="1"/>
      <c r="G225" s="1"/>
      <c r="J225" s="2"/>
      <c r="R225" s="2"/>
      <c r="T225" s="2"/>
    </row>
    <row r="226" spans="2:20">
      <c r="B226" s="1"/>
      <c r="C226" s="4"/>
      <c r="D226" s="1"/>
      <c r="E226" s="1"/>
      <c r="F226" s="1"/>
      <c r="G226" s="1"/>
      <c r="J226" s="2"/>
      <c r="R226" s="2"/>
      <c r="T226" s="2"/>
    </row>
    <row r="227" spans="2:20">
      <c r="B227" s="1"/>
      <c r="C227" s="4"/>
      <c r="D227" s="1"/>
      <c r="E227" s="1"/>
      <c r="F227" s="1"/>
      <c r="G227" s="1"/>
      <c r="J227" s="2"/>
      <c r="R227" s="2"/>
      <c r="T227" s="2"/>
    </row>
    <row r="228" spans="2:20">
      <c r="B228" s="1"/>
      <c r="C228" s="4"/>
      <c r="D228" s="1"/>
      <c r="E228" s="1"/>
      <c r="F228" s="1"/>
      <c r="G228" s="1"/>
      <c r="J228" s="2"/>
      <c r="R228" s="2"/>
      <c r="T228" s="2"/>
    </row>
    <row r="229" spans="2:20">
      <c r="B229" s="1"/>
      <c r="C229" s="4"/>
      <c r="D229" s="1"/>
      <c r="E229" s="1"/>
      <c r="F229" s="1"/>
      <c r="G229" s="1"/>
      <c r="J229" s="2"/>
      <c r="R229" s="2"/>
      <c r="T229" s="2"/>
    </row>
    <row r="230" spans="2:20">
      <c r="B230" s="1"/>
      <c r="C230" s="4"/>
      <c r="D230" s="1"/>
      <c r="E230" s="1"/>
      <c r="F230" s="1"/>
      <c r="G230" s="1"/>
      <c r="J230" s="2"/>
      <c r="R230" s="2"/>
      <c r="T230" s="2"/>
    </row>
    <row r="231" spans="2:20">
      <c r="B231" s="1"/>
      <c r="C231" s="4"/>
      <c r="D231" s="1"/>
      <c r="E231" s="1"/>
      <c r="F231" s="1"/>
      <c r="G231" s="1"/>
      <c r="J231" s="2"/>
      <c r="R231" s="2"/>
      <c r="T231" s="2"/>
    </row>
    <row r="232" spans="2:20">
      <c r="B232" s="1"/>
      <c r="C232" s="4"/>
      <c r="D232" s="1"/>
      <c r="E232" s="1"/>
      <c r="F232" s="1"/>
      <c r="G232" s="1"/>
      <c r="J232" s="2"/>
      <c r="R232" s="2"/>
      <c r="T232" s="2"/>
    </row>
    <row r="233" spans="2:20">
      <c r="B233" s="1"/>
      <c r="C233" s="4"/>
      <c r="D233" s="1"/>
      <c r="E233" s="1"/>
      <c r="F233" s="1"/>
      <c r="G233" s="1"/>
      <c r="J233" s="2"/>
      <c r="R233" s="2"/>
      <c r="T233" s="2"/>
    </row>
    <row r="234" spans="2:20">
      <c r="B234" s="1"/>
      <c r="C234" s="4"/>
      <c r="D234" s="1"/>
      <c r="E234" s="1"/>
      <c r="F234" s="1"/>
      <c r="G234" s="1"/>
      <c r="J234" s="2"/>
      <c r="R234" s="2"/>
      <c r="T234" s="2"/>
    </row>
    <row r="235" spans="2:20">
      <c r="B235" s="1"/>
      <c r="C235" s="4"/>
      <c r="D235" s="1"/>
      <c r="E235" s="1"/>
      <c r="F235" s="1"/>
      <c r="G235" s="1"/>
      <c r="J235" s="2"/>
      <c r="R235" s="2"/>
      <c r="T235" s="2"/>
    </row>
    <row r="236" spans="2:20">
      <c r="B236" s="1"/>
      <c r="C236" s="4"/>
      <c r="D236" s="1"/>
      <c r="E236" s="1"/>
      <c r="F236" s="1"/>
      <c r="G236" s="1"/>
      <c r="J236" s="2"/>
      <c r="R236" s="2"/>
      <c r="T236" s="2"/>
    </row>
    <row r="237" spans="2:20">
      <c r="B237" s="1"/>
      <c r="C237" s="4"/>
      <c r="D237" s="1"/>
      <c r="E237" s="1"/>
      <c r="F237" s="1"/>
      <c r="G237" s="1"/>
      <c r="J237" s="2"/>
      <c r="R237" s="2"/>
      <c r="T237" s="2"/>
    </row>
    <row r="238" spans="2:20">
      <c r="B238" s="1"/>
      <c r="C238" s="4"/>
      <c r="D238" s="1"/>
      <c r="E238" s="1"/>
      <c r="F238" s="1"/>
      <c r="G238" s="1"/>
      <c r="J238" s="2"/>
      <c r="R238" s="2"/>
      <c r="T238" s="2"/>
    </row>
    <row r="239" spans="2:20">
      <c r="B239" s="1"/>
      <c r="C239" s="4"/>
      <c r="D239" s="1"/>
      <c r="E239" s="1"/>
      <c r="F239" s="1"/>
      <c r="G239" s="1"/>
      <c r="J239" s="2"/>
      <c r="R239" s="2"/>
      <c r="T239" s="2"/>
    </row>
    <row r="240" spans="2:20">
      <c r="B240" s="1"/>
      <c r="C240" s="4"/>
      <c r="D240" s="1"/>
      <c r="E240" s="1"/>
      <c r="F240" s="1"/>
      <c r="G240" s="1"/>
      <c r="J240" s="2"/>
      <c r="R240" s="2"/>
      <c r="T240" s="2"/>
    </row>
    <row r="241" spans="2:20">
      <c r="B241" s="1"/>
      <c r="C241" s="4"/>
      <c r="D241" s="1"/>
      <c r="E241" s="1"/>
      <c r="F241" s="1"/>
      <c r="G241" s="1"/>
      <c r="J241" s="2"/>
      <c r="R241" s="2"/>
      <c r="T241" s="2"/>
    </row>
    <row r="242" spans="2:20">
      <c r="B242" s="1"/>
      <c r="C242" s="4"/>
      <c r="D242" s="1"/>
      <c r="E242" s="1"/>
      <c r="F242" s="1"/>
      <c r="G242" s="1"/>
      <c r="J242" s="2"/>
      <c r="R242" s="2"/>
      <c r="T242" s="2"/>
    </row>
    <row r="243" spans="2:20">
      <c r="B243" s="1"/>
      <c r="C243" s="4"/>
      <c r="D243" s="1"/>
      <c r="E243" s="1"/>
      <c r="F243" s="1"/>
      <c r="G243" s="1"/>
      <c r="J243" s="2"/>
      <c r="T243" s="2"/>
    </row>
    <row r="244" spans="2:20">
      <c r="B244" s="1"/>
      <c r="C244" s="4"/>
      <c r="D244" s="1"/>
      <c r="E244" s="1"/>
      <c r="F244" s="1"/>
      <c r="G244" s="1"/>
      <c r="J244" s="2"/>
      <c r="T244" s="2"/>
    </row>
    <row r="245" spans="2:20">
      <c r="B245" s="1"/>
      <c r="C245" s="4"/>
      <c r="D245" s="1"/>
      <c r="E245" s="1"/>
      <c r="F245" s="1"/>
      <c r="G245" s="1"/>
      <c r="J245" s="2"/>
      <c r="T245" s="2"/>
    </row>
    <row r="246" spans="2:20">
      <c r="B246" s="1"/>
      <c r="C246" s="4"/>
      <c r="D246" s="1"/>
      <c r="E246" s="1"/>
      <c r="F246" s="1"/>
      <c r="G246" s="1"/>
      <c r="J246" s="2"/>
      <c r="T246" s="2"/>
    </row>
    <row r="247" spans="2:20">
      <c r="B247" s="1"/>
      <c r="C247" s="4"/>
      <c r="D247" s="1"/>
      <c r="E247" s="1"/>
      <c r="F247" s="1"/>
      <c r="G247" s="1"/>
      <c r="J247" s="2"/>
      <c r="T247" s="2"/>
    </row>
    <row r="248" spans="2:20">
      <c r="B248" s="1"/>
      <c r="C248" s="4"/>
      <c r="D248" s="1"/>
      <c r="E248" s="1"/>
      <c r="F248" s="1"/>
      <c r="G248" s="1"/>
      <c r="J248" s="2"/>
      <c r="T248" s="2"/>
    </row>
    <row r="249" spans="2:20">
      <c r="B249" s="1"/>
      <c r="C249" s="4"/>
      <c r="D249" s="1"/>
      <c r="E249" s="1"/>
      <c r="F249" s="1"/>
      <c r="G249" s="1"/>
      <c r="J249" s="2"/>
      <c r="T249" s="2"/>
    </row>
    <row r="250" spans="2:20">
      <c r="B250" s="1"/>
      <c r="C250" s="4"/>
      <c r="D250" s="1"/>
      <c r="E250" s="1"/>
      <c r="F250" s="1"/>
      <c r="G250" s="1"/>
      <c r="J250" s="2"/>
      <c r="T250" s="2"/>
    </row>
    <row r="251" spans="2:20">
      <c r="B251" s="1"/>
      <c r="C251" s="4"/>
      <c r="D251" s="1"/>
      <c r="E251" s="1"/>
      <c r="F251" s="1"/>
      <c r="G251" s="1"/>
      <c r="J251" s="2"/>
      <c r="T251" s="2"/>
    </row>
    <row r="252" spans="2:20">
      <c r="B252" s="1"/>
      <c r="C252" s="4"/>
      <c r="D252" s="1"/>
      <c r="E252" s="1"/>
      <c r="F252" s="1"/>
      <c r="G252" s="1"/>
      <c r="J252" s="2"/>
      <c r="T252" s="2"/>
    </row>
    <row r="253" spans="2:20">
      <c r="B253" s="1"/>
      <c r="C253" s="4"/>
      <c r="D253" s="1"/>
      <c r="E253" s="1"/>
      <c r="F253" s="1"/>
      <c r="G253" s="1"/>
      <c r="J253" s="2"/>
      <c r="T253" s="2"/>
    </row>
    <row r="254" spans="2:20">
      <c r="B254" s="1"/>
      <c r="C254" s="4"/>
      <c r="D254" s="1"/>
      <c r="E254" s="1"/>
      <c r="F254" s="1"/>
      <c r="G254" s="1"/>
      <c r="J254" s="2"/>
      <c r="T254" s="2"/>
    </row>
    <row r="255" spans="2:20">
      <c r="B255" s="1"/>
      <c r="C255" s="4"/>
      <c r="D255" s="1"/>
      <c r="E255" s="1"/>
      <c r="F255" s="1"/>
      <c r="G255" s="1"/>
      <c r="J255" s="2"/>
      <c r="T255" s="2"/>
    </row>
    <row r="256" spans="2:20">
      <c r="B256" s="1"/>
      <c r="C256" s="4"/>
      <c r="D256" s="1"/>
      <c r="E256" s="1"/>
      <c r="F256" s="1"/>
      <c r="G256" s="1"/>
      <c r="J256" s="2"/>
      <c r="T256" s="2"/>
    </row>
    <row r="257" spans="2:20">
      <c r="B257" s="1"/>
      <c r="C257" s="4"/>
      <c r="D257" s="1"/>
      <c r="E257" s="1"/>
      <c r="F257" s="1"/>
      <c r="G257" s="1"/>
      <c r="J257" s="2"/>
      <c r="T257" s="2"/>
    </row>
    <row r="258" spans="2:20">
      <c r="B258" s="1"/>
      <c r="C258" s="4"/>
      <c r="D258" s="1"/>
      <c r="E258" s="1"/>
      <c r="F258" s="1"/>
      <c r="G258" s="1"/>
      <c r="J258" s="2"/>
      <c r="T258" s="2"/>
    </row>
    <row r="259" spans="2:20">
      <c r="B259" s="1"/>
      <c r="C259" s="4"/>
      <c r="D259" s="1"/>
      <c r="E259" s="1"/>
      <c r="F259" s="1"/>
      <c r="G259" s="1"/>
      <c r="J259" s="2"/>
      <c r="T259" s="2"/>
    </row>
    <row r="260" spans="2:20">
      <c r="B260" s="1"/>
      <c r="C260" s="4"/>
      <c r="D260" s="1"/>
      <c r="E260" s="1"/>
      <c r="F260" s="1"/>
      <c r="G260" s="1"/>
      <c r="J260" s="2"/>
      <c r="T260" s="2"/>
    </row>
    <row r="261" spans="2:20">
      <c r="B261" s="1"/>
      <c r="C261" s="4"/>
      <c r="D261" s="1"/>
      <c r="E261" s="1"/>
      <c r="F261" s="1"/>
      <c r="G261" s="1"/>
      <c r="J261" s="2"/>
      <c r="T261" s="2"/>
    </row>
    <row r="262" spans="2:20">
      <c r="B262" s="1"/>
      <c r="C262" s="4"/>
      <c r="D262" s="1"/>
      <c r="E262" s="1"/>
      <c r="F262" s="1"/>
      <c r="G262" s="1"/>
      <c r="J262" s="2"/>
      <c r="T262" s="2"/>
    </row>
    <row r="263" spans="2:20">
      <c r="B263" s="1"/>
      <c r="C263" s="4"/>
      <c r="D263" s="1"/>
      <c r="E263" s="1"/>
      <c r="F263" s="1"/>
      <c r="G263" s="1"/>
      <c r="J263" s="2"/>
      <c r="T263" s="2"/>
    </row>
    <row r="264" spans="2:20">
      <c r="B264" s="1"/>
      <c r="C264" s="4"/>
      <c r="D264" s="1"/>
      <c r="E264" s="1"/>
      <c r="F264" s="1"/>
      <c r="G264" s="1"/>
      <c r="J264" s="2"/>
      <c r="T264" s="2"/>
    </row>
    <row r="265" spans="2:20">
      <c r="B265" s="1"/>
      <c r="C265" s="4"/>
      <c r="D265" s="1"/>
      <c r="E265" s="1"/>
      <c r="F265" s="1"/>
      <c r="G265" s="1"/>
      <c r="J265" s="2"/>
      <c r="T265" s="2"/>
    </row>
    <row r="266" spans="2:20">
      <c r="B266" s="1"/>
      <c r="C266" s="4"/>
      <c r="D266" s="1"/>
      <c r="E266" s="1"/>
      <c r="F266" s="1"/>
      <c r="G266" s="1"/>
      <c r="J266" s="2"/>
      <c r="T266" s="2"/>
    </row>
    <row r="267" spans="2:20">
      <c r="B267" s="1"/>
      <c r="C267" s="4"/>
      <c r="D267" s="1"/>
      <c r="E267" s="1"/>
      <c r="F267" s="1"/>
      <c r="G267" s="1"/>
      <c r="J267" s="2"/>
      <c r="T267" s="2"/>
    </row>
    <row r="268" spans="2:20">
      <c r="B268" s="1"/>
      <c r="C268" s="4"/>
      <c r="D268" s="1"/>
      <c r="E268" s="1"/>
      <c r="F268" s="1"/>
      <c r="G268" s="1"/>
      <c r="J268" s="2"/>
      <c r="T268" s="2"/>
    </row>
    <row r="269" spans="2:20">
      <c r="B269" s="1"/>
      <c r="C269" s="4"/>
      <c r="D269" s="1"/>
      <c r="E269" s="1"/>
      <c r="F269" s="1"/>
      <c r="G269" s="1"/>
      <c r="J269" s="2"/>
      <c r="T269" s="2"/>
    </row>
    <row r="270" spans="2:20">
      <c r="B270" s="1"/>
      <c r="C270" s="4"/>
      <c r="D270" s="1"/>
      <c r="E270" s="1"/>
      <c r="F270" s="1"/>
      <c r="G270" s="1"/>
      <c r="J270" s="2"/>
      <c r="T270" s="2"/>
    </row>
    <row r="271" spans="2:20">
      <c r="B271" s="1"/>
      <c r="C271" s="4"/>
      <c r="D271" s="1"/>
      <c r="E271" s="1"/>
      <c r="F271" s="1"/>
      <c r="G271" s="1"/>
      <c r="J271" s="2"/>
      <c r="T271" s="2"/>
    </row>
    <row r="272" spans="2:20">
      <c r="B272" s="1"/>
      <c r="C272" s="4"/>
      <c r="D272" s="1"/>
      <c r="E272" s="1"/>
      <c r="F272" s="1"/>
      <c r="G272" s="1"/>
      <c r="J272" s="2"/>
      <c r="T272" s="2"/>
    </row>
    <row r="273" spans="2:20">
      <c r="B273" s="1"/>
      <c r="C273" s="4"/>
      <c r="D273" s="1"/>
      <c r="E273" s="1"/>
      <c r="F273" s="1"/>
      <c r="G273" s="1"/>
      <c r="J273" s="2"/>
      <c r="T273" s="2"/>
    </row>
    <row r="274" spans="2:20">
      <c r="B274" s="1"/>
      <c r="C274" s="4"/>
      <c r="D274" s="1"/>
      <c r="E274" s="1"/>
      <c r="F274" s="1"/>
      <c r="G274" s="1"/>
      <c r="J274" s="2"/>
      <c r="T274" s="2"/>
    </row>
    <row r="275" spans="2:20">
      <c r="B275" s="1"/>
      <c r="C275" s="4"/>
      <c r="D275" s="1"/>
      <c r="E275" s="1"/>
      <c r="F275" s="1"/>
      <c r="G275" s="1"/>
      <c r="J275" s="2"/>
      <c r="T275" s="2"/>
    </row>
    <row r="276" spans="2:20">
      <c r="B276" s="1"/>
      <c r="C276" s="4"/>
      <c r="D276" s="1"/>
      <c r="E276" s="1"/>
      <c r="F276" s="1"/>
      <c r="G276" s="1"/>
      <c r="J276" s="2"/>
      <c r="T276" s="2"/>
    </row>
    <row r="277" spans="2:20">
      <c r="B277" s="1"/>
      <c r="C277" s="4"/>
      <c r="D277" s="1"/>
      <c r="E277" s="1"/>
      <c r="F277" s="1"/>
      <c r="G277" s="1"/>
      <c r="J277" s="2"/>
      <c r="T277" s="2"/>
    </row>
    <row r="278" spans="2:20">
      <c r="B278" s="1"/>
      <c r="C278" s="4"/>
      <c r="D278" s="1"/>
      <c r="E278" s="1"/>
      <c r="F278" s="1"/>
      <c r="G278" s="1"/>
      <c r="J278" s="2"/>
      <c r="T278" s="2"/>
    </row>
    <row r="279" spans="2:20">
      <c r="B279" s="1"/>
      <c r="C279" s="4"/>
      <c r="D279" s="1"/>
      <c r="E279" s="1"/>
      <c r="F279" s="1"/>
      <c r="G279" s="1"/>
      <c r="J279" s="2"/>
      <c r="T279" s="2"/>
    </row>
    <row r="280" spans="2:20">
      <c r="B280" s="1"/>
      <c r="C280" s="4"/>
      <c r="D280" s="1"/>
      <c r="E280" s="1"/>
      <c r="F280" s="1"/>
      <c r="G280" s="1"/>
      <c r="J280" s="2"/>
      <c r="T280" s="2"/>
    </row>
    <row r="281" spans="2:20">
      <c r="B281" s="1"/>
      <c r="C281" s="4"/>
      <c r="D281" s="1"/>
      <c r="E281" s="1"/>
      <c r="F281" s="1"/>
      <c r="G281" s="1"/>
      <c r="J281" s="2"/>
      <c r="T281" s="2"/>
    </row>
    <row r="282" spans="2:20">
      <c r="B282" s="1"/>
      <c r="C282" s="4"/>
      <c r="D282" s="1"/>
      <c r="E282" s="1"/>
      <c r="F282" s="1"/>
      <c r="G282" s="1"/>
      <c r="J282" s="2"/>
      <c r="T282" s="2"/>
    </row>
    <row r="283" spans="2:20">
      <c r="B283" s="1"/>
      <c r="C283" s="4"/>
      <c r="D283" s="1"/>
      <c r="E283" s="1"/>
      <c r="F283" s="1"/>
      <c r="G283" s="1"/>
      <c r="J283" s="2"/>
      <c r="T283" s="2"/>
    </row>
    <row r="284" spans="2:20">
      <c r="B284" s="1"/>
      <c r="C284" s="4"/>
      <c r="D284" s="1"/>
      <c r="E284" s="1"/>
      <c r="F284" s="1"/>
      <c r="G284" s="1"/>
      <c r="J284" s="2"/>
      <c r="T284" s="2"/>
    </row>
    <row r="285" spans="2:20">
      <c r="B285" s="1"/>
      <c r="C285" s="4"/>
      <c r="D285" s="1"/>
      <c r="E285" s="1"/>
      <c r="F285" s="1"/>
      <c r="G285" s="1"/>
      <c r="J285" s="2"/>
      <c r="T285" s="2"/>
    </row>
    <row r="286" spans="2:20">
      <c r="B286" s="1"/>
      <c r="C286" s="4"/>
      <c r="D286" s="1"/>
      <c r="E286" s="1"/>
      <c r="F286" s="1"/>
      <c r="G286" s="1"/>
      <c r="J286" s="2"/>
      <c r="T286" s="2"/>
    </row>
    <row r="287" spans="2:20">
      <c r="B287" s="1"/>
      <c r="C287" s="4"/>
      <c r="D287" s="1"/>
      <c r="E287" s="1"/>
      <c r="F287" s="1"/>
      <c r="G287" s="1"/>
      <c r="J287" s="2"/>
      <c r="T287" s="2"/>
    </row>
    <row r="288" spans="2:20">
      <c r="B288" s="1"/>
      <c r="C288" s="4"/>
      <c r="D288" s="1"/>
      <c r="E288" s="1"/>
      <c r="F288" s="1"/>
      <c r="G288" s="1"/>
      <c r="J288" s="2"/>
      <c r="T288" s="2"/>
    </row>
    <row r="289" spans="2:20">
      <c r="B289" s="1"/>
      <c r="C289" s="4"/>
      <c r="D289" s="1"/>
      <c r="E289" s="1"/>
      <c r="F289" s="1"/>
      <c r="G289" s="1"/>
      <c r="J289" s="2"/>
      <c r="T289" s="2"/>
    </row>
    <row r="290" spans="2:20">
      <c r="B290" s="1"/>
      <c r="C290" s="4"/>
      <c r="D290" s="1"/>
      <c r="E290" s="1"/>
      <c r="F290" s="1"/>
      <c r="G290" s="1"/>
      <c r="J290" s="2"/>
      <c r="T290" s="2"/>
    </row>
    <row r="291" spans="2:20">
      <c r="B291" s="1"/>
      <c r="C291" s="4"/>
      <c r="D291" s="1"/>
      <c r="E291" s="1"/>
      <c r="F291" s="1"/>
      <c r="G291" s="1"/>
      <c r="J291" s="2"/>
      <c r="T291" s="2"/>
    </row>
    <row r="292" spans="2:20">
      <c r="B292" s="1"/>
      <c r="C292" s="4"/>
      <c r="D292" s="1"/>
      <c r="E292" s="1"/>
      <c r="F292" s="1"/>
      <c r="G292" s="1"/>
      <c r="J292" s="2"/>
      <c r="T292" s="2"/>
    </row>
    <row r="293" spans="2:20">
      <c r="B293" s="1"/>
      <c r="C293" s="4"/>
      <c r="D293" s="1"/>
      <c r="E293" s="1"/>
      <c r="F293" s="1"/>
      <c r="G293" s="1"/>
      <c r="J293" s="2"/>
      <c r="T293" s="2"/>
    </row>
    <row r="294" spans="2:20">
      <c r="B294" s="1"/>
      <c r="C294" s="4"/>
      <c r="D294" s="1"/>
      <c r="E294" s="1"/>
      <c r="F294" s="1"/>
      <c r="G294" s="1"/>
      <c r="J294" s="2"/>
      <c r="T294" s="2"/>
    </row>
    <row r="295" spans="2:20">
      <c r="B295" s="1"/>
      <c r="C295" s="4"/>
      <c r="D295" s="1"/>
      <c r="E295" s="1"/>
      <c r="F295" s="1"/>
      <c r="G295" s="1"/>
      <c r="J295" s="2"/>
      <c r="T295" s="2"/>
    </row>
    <row r="296" spans="2:20">
      <c r="B296" s="1"/>
      <c r="C296" s="4"/>
      <c r="D296" s="1"/>
      <c r="E296" s="1"/>
      <c r="F296" s="1"/>
      <c r="G296" s="1"/>
      <c r="J296" s="2"/>
      <c r="T296" s="2"/>
    </row>
    <row r="297" spans="2:20">
      <c r="B297" s="1"/>
      <c r="C297" s="4"/>
      <c r="D297" s="1"/>
      <c r="E297" s="1"/>
      <c r="F297" s="1"/>
      <c r="G297" s="1"/>
      <c r="J297" s="2"/>
      <c r="T297" s="2"/>
    </row>
    <row r="298" spans="2:20">
      <c r="B298" s="1"/>
      <c r="C298" s="4"/>
      <c r="D298" s="1"/>
      <c r="E298" s="1"/>
      <c r="F298" s="1"/>
      <c r="G298" s="1"/>
      <c r="J298" s="2"/>
      <c r="T298" s="2"/>
    </row>
    <row r="299" spans="2:20">
      <c r="B299" s="1"/>
      <c r="C299" s="4"/>
      <c r="D299" s="1"/>
      <c r="E299" s="1"/>
      <c r="F299" s="1"/>
      <c r="G299" s="1"/>
      <c r="J299" s="2"/>
      <c r="T299" s="2"/>
    </row>
    <row r="300" spans="2:20">
      <c r="B300" s="1"/>
      <c r="C300" s="4"/>
      <c r="D300" s="1"/>
      <c r="E300" s="1"/>
      <c r="F300" s="1"/>
      <c r="G300" s="1"/>
      <c r="J300" s="2"/>
      <c r="T300" s="2"/>
    </row>
    <row r="301" spans="2:20">
      <c r="B301" s="1"/>
      <c r="C301" s="4"/>
      <c r="D301" s="1"/>
      <c r="E301" s="1"/>
      <c r="F301" s="1"/>
      <c r="G301" s="1"/>
      <c r="J301" s="2"/>
      <c r="T301" s="2"/>
    </row>
    <row r="302" spans="2:20">
      <c r="B302" s="1"/>
      <c r="C302" s="4"/>
      <c r="D302" s="1"/>
      <c r="E302" s="1"/>
      <c r="F302" s="1"/>
      <c r="G302" s="1"/>
      <c r="J302" s="2"/>
      <c r="T302" s="2"/>
    </row>
    <row r="303" spans="2:20">
      <c r="B303" s="1"/>
      <c r="C303" s="4"/>
      <c r="D303" s="1"/>
      <c r="E303" s="1"/>
      <c r="F303" s="1"/>
      <c r="G303" s="1"/>
      <c r="J303" s="2"/>
      <c r="T303" s="2"/>
    </row>
    <row r="304" spans="2:20">
      <c r="B304" s="1"/>
      <c r="C304" s="4"/>
      <c r="D304" s="1"/>
      <c r="E304" s="1"/>
      <c r="F304" s="1"/>
      <c r="G304" s="1"/>
      <c r="J304" s="2"/>
      <c r="T304" s="2"/>
    </row>
    <row r="305" spans="2:20">
      <c r="B305" s="1"/>
      <c r="C305" s="4"/>
      <c r="D305" s="1"/>
      <c r="E305" s="1"/>
      <c r="F305" s="1"/>
      <c r="G305" s="1"/>
      <c r="J305" s="2"/>
      <c r="T305" s="2"/>
    </row>
    <row r="306" spans="2:20">
      <c r="B306" s="1"/>
      <c r="C306" s="4"/>
      <c r="D306" s="1"/>
      <c r="E306" s="1"/>
      <c r="F306" s="1"/>
      <c r="G306" s="1"/>
      <c r="J306" s="2"/>
      <c r="T306" s="2"/>
    </row>
    <row r="307" spans="2:20">
      <c r="B307" s="1"/>
      <c r="C307" s="4"/>
      <c r="D307" s="1"/>
      <c r="E307" s="1"/>
      <c r="F307" s="1"/>
      <c r="G307" s="1"/>
      <c r="J307" s="2"/>
      <c r="T307" s="2"/>
    </row>
    <row r="308" spans="2:20">
      <c r="B308" s="1"/>
      <c r="C308" s="4"/>
      <c r="D308" s="1"/>
      <c r="E308" s="1"/>
      <c r="F308" s="1"/>
      <c r="G308" s="1"/>
      <c r="J308" s="2"/>
      <c r="T308" s="2"/>
    </row>
    <row r="309" spans="2:20">
      <c r="B309" s="1"/>
      <c r="C309" s="4"/>
      <c r="D309" s="1"/>
      <c r="E309" s="1"/>
      <c r="F309" s="1"/>
      <c r="G309" s="1"/>
      <c r="J309" s="2"/>
      <c r="T309" s="2"/>
    </row>
    <row r="310" spans="2:20">
      <c r="B310" s="1"/>
      <c r="C310" s="4"/>
      <c r="D310" s="1"/>
      <c r="E310" s="1"/>
      <c r="F310" s="1"/>
      <c r="G310" s="1"/>
      <c r="J310" s="2"/>
      <c r="T310" s="2"/>
    </row>
    <row r="311" spans="2:20">
      <c r="B311" s="1"/>
      <c r="C311" s="4"/>
      <c r="D311" s="1"/>
      <c r="E311" s="1"/>
      <c r="F311" s="1"/>
      <c r="G311" s="1"/>
      <c r="J311" s="2"/>
      <c r="T311" s="2"/>
    </row>
    <row r="312" spans="2:20">
      <c r="B312" s="1"/>
      <c r="C312" s="4"/>
      <c r="D312" s="1"/>
      <c r="E312" s="1"/>
      <c r="F312" s="1"/>
      <c r="G312" s="1"/>
      <c r="J312" s="2"/>
      <c r="T312" s="2"/>
    </row>
    <row r="313" spans="2:20">
      <c r="B313" s="1"/>
      <c r="C313" s="4"/>
      <c r="D313" s="1"/>
      <c r="E313" s="1"/>
      <c r="F313" s="1"/>
      <c r="G313" s="1"/>
      <c r="J313" s="2"/>
      <c r="T313" s="2"/>
    </row>
    <row r="314" spans="2:20">
      <c r="B314" s="1"/>
      <c r="C314" s="4"/>
      <c r="D314" s="1"/>
      <c r="E314" s="1"/>
      <c r="F314" s="1"/>
      <c r="G314" s="1"/>
      <c r="J314" s="2"/>
      <c r="T314" s="2"/>
    </row>
    <row r="315" spans="2:20">
      <c r="B315" s="1"/>
      <c r="C315" s="4"/>
      <c r="D315" s="1"/>
      <c r="E315" s="1"/>
      <c r="F315" s="1"/>
      <c r="G315" s="1"/>
      <c r="J315" s="2"/>
      <c r="T315" s="2"/>
    </row>
    <row r="316" spans="2:20">
      <c r="B316" s="1"/>
      <c r="C316" s="4"/>
      <c r="D316" s="1"/>
      <c r="E316" s="1"/>
      <c r="F316" s="1"/>
      <c r="G316" s="1"/>
      <c r="J316" s="2"/>
      <c r="T316" s="2"/>
    </row>
    <row r="317" spans="2:20">
      <c r="B317" s="1"/>
      <c r="C317" s="4"/>
      <c r="D317" s="1"/>
      <c r="E317" s="1"/>
      <c r="F317" s="1"/>
      <c r="G317" s="1"/>
      <c r="J317" s="2"/>
      <c r="T317" s="2"/>
    </row>
    <row r="318" spans="2:20">
      <c r="B318" s="1"/>
      <c r="C318" s="4"/>
      <c r="D318" s="1"/>
      <c r="E318" s="1"/>
      <c r="F318" s="1"/>
      <c r="G318" s="1"/>
      <c r="J318" s="2"/>
      <c r="T318" s="2"/>
    </row>
    <row r="319" spans="2:20">
      <c r="B319" s="1"/>
      <c r="C319" s="4"/>
      <c r="D319" s="1"/>
      <c r="E319" s="1"/>
      <c r="F319" s="1"/>
      <c r="G319" s="1"/>
      <c r="J319" s="2"/>
      <c r="T319" s="2"/>
    </row>
    <row r="320" spans="2:20">
      <c r="B320" s="1"/>
      <c r="C320" s="4"/>
      <c r="D320" s="1"/>
      <c r="E320" s="1"/>
      <c r="F320" s="1"/>
      <c r="G320" s="1"/>
      <c r="J320" s="2"/>
      <c r="T320" s="2"/>
    </row>
    <row r="321" spans="2:20">
      <c r="B321" s="1"/>
      <c r="C321" s="4"/>
      <c r="D321" s="1"/>
      <c r="E321" s="1"/>
      <c r="F321" s="1"/>
      <c r="G321" s="1"/>
      <c r="J321" s="2"/>
      <c r="T321" s="2"/>
    </row>
    <row r="322" spans="2:20">
      <c r="B322" s="1"/>
      <c r="C322" s="4"/>
      <c r="D322" s="1"/>
      <c r="E322" s="1"/>
      <c r="F322" s="1"/>
      <c r="G322" s="1"/>
      <c r="J322" s="2"/>
      <c r="T322" s="2"/>
    </row>
    <row r="323" spans="2:20">
      <c r="B323" s="1"/>
      <c r="C323" s="4"/>
      <c r="D323" s="1"/>
      <c r="E323" s="1"/>
      <c r="F323" s="1"/>
      <c r="G323" s="1"/>
      <c r="J323" s="2"/>
      <c r="T323" s="2"/>
    </row>
    <row r="324" spans="2:20">
      <c r="B324" s="1"/>
      <c r="C324" s="4"/>
      <c r="D324" s="1"/>
      <c r="E324" s="1"/>
      <c r="F324" s="1"/>
      <c r="G324" s="1"/>
      <c r="J324" s="2"/>
      <c r="T324" s="2"/>
    </row>
    <row r="325" spans="2:20">
      <c r="B325" s="1"/>
      <c r="C325" s="4"/>
      <c r="D325" s="1"/>
      <c r="E325" s="1"/>
      <c r="F325" s="1"/>
      <c r="G325" s="1"/>
      <c r="J325" s="2"/>
      <c r="T325" s="2"/>
    </row>
    <row r="326" spans="2:20">
      <c r="B326" s="1"/>
      <c r="C326" s="4"/>
      <c r="D326" s="1"/>
      <c r="E326" s="1"/>
      <c r="F326" s="1"/>
      <c r="G326" s="1"/>
      <c r="J326" s="2"/>
      <c r="T326" s="2"/>
    </row>
    <row r="327" spans="2:20">
      <c r="B327" s="1"/>
      <c r="C327" s="4"/>
      <c r="D327" s="1"/>
      <c r="E327" s="1"/>
      <c r="F327" s="1"/>
      <c r="G327" s="1"/>
      <c r="J327" s="2"/>
      <c r="T327" s="2"/>
    </row>
    <row r="328" spans="2:20">
      <c r="B328" s="1"/>
      <c r="C328" s="4"/>
      <c r="D328" s="1"/>
      <c r="E328" s="1"/>
      <c r="F328" s="1"/>
      <c r="G328" s="1"/>
      <c r="J328" s="2"/>
      <c r="T328" s="2"/>
    </row>
    <row r="329" spans="2:20">
      <c r="B329" s="1"/>
      <c r="C329" s="4"/>
      <c r="D329" s="1"/>
      <c r="E329" s="1"/>
      <c r="F329" s="1"/>
      <c r="G329" s="1"/>
      <c r="J329" s="2"/>
      <c r="T329" s="2"/>
    </row>
    <row r="330" spans="2:20">
      <c r="B330" s="1"/>
      <c r="C330" s="4"/>
      <c r="D330" s="1"/>
      <c r="E330" s="1"/>
      <c r="F330" s="1"/>
      <c r="G330" s="1"/>
      <c r="J330" s="2"/>
      <c r="T330" s="2"/>
    </row>
    <row r="331" spans="2:20">
      <c r="B331" s="1"/>
      <c r="C331" s="4"/>
      <c r="D331" s="1"/>
      <c r="E331" s="1"/>
      <c r="F331" s="1"/>
      <c r="G331" s="1"/>
      <c r="J331" s="2"/>
      <c r="T331" s="2"/>
    </row>
    <row r="332" spans="2:20">
      <c r="B332" s="1"/>
      <c r="C332" s="4"/>
      <c r="D332" s="1"/>
      <c r="E332" s="1"/>
      <c r="F332" s="1"/>
      <c r="G332" s="1"/>
      <c r="J332" s="2"/>
      <c r="T332" s="2"/>
    </row>
    <row r="333" spans="2:20">
      <c r="B333" s="1"/>
      <c r="C333" s="4"/>
      <c r="D333" s="1"/>
      <c r="E333" s="1"/>
      <c r="F333" s="1"/>
      <c r="G333" s="1"/>
      <c r="J333" s="2"/>
      <c r="T333" s="2"/>
    </row>
    <row r="334" spans="2:20">
      <c r="B334" s="1"/>
      <c r="C334" s="4"/>
      <c r="D334" s="1"/>
      <c r="E334" s="1"/>
      <c r="F334" s="1"/>
      <c r="G334" s="1"/>
      <c r="J334" s="2"/>
      <c r="T334" s="2"/>
    </row>
    <row r="335" spans="2:20">
      <c r="B335" s="1"/>
      <c r="C335" s="4"/>
      <c r="D335" s="1"/>
      <c r="E335" s="1"/>
      <c r="F335" s="1"/>
      <c r="G335" s="1"/>
      <c r="J335" s="2"/>
      <c r="T335" s="2"/>
    </row>
    <row r="336" spans="2:20">
      <c r="B336" s="1"/>
      <c r="C336" s="4"/>
      <c r="D336" s="1"/>
      <c r="E336" s="1"/>
      <c r="F336" s="1"/>
      <c r="G336" s="1"/>
      <c r="J336" s="2"/>
      <c r="T336" s="2"/>
    </row>
    <row r="337" spans="2:20">
      <c r="B337" s="1"/>
      <c r="C337" s="4"/>
      <c r="D337" s="1"/>
      <c r="E337" s="1"/>
      <c r="F337" s="1"/>
      <c r="G337" s="1"/>
      <c r="J337" s="2"/>
      <c r="T337" s="2"/>
    </row>
    <row r="338" spans="2:20">
      <c r="B338" s="1"/>
      <c r="C338" s="4"/>
      <c r="D338" s="1"/>
      <c r="E338" s="1"/>
      <c r="F338" s="1"/>
      <c r="G338" s="1"/>
      <c r="J338" s="2"/>
      <c r="T338" s="2"/>
    </row>
    <row r="339" spans="2:20">
      <c r="B339" s="1"/>
      <c r="C339" s="4"/>
      <c r="D339" s="1"/>
      <c r="E339" s="1"/>
      <c r="F339" s="1"/>
      <c r="G339" s="1"/>
      <c r="J339" s="2"/>
      <c r="T339" s="2"/>
    </row>
    <row r="340" spans="2:20">
      <c r="B340" s="1"/>
      <c r="C340" s="4"/>
      <c r="D340" s="1"/>
      <c r="E340" s="1"/>
      <c r="F340" s="1"/>
      <c r="G340" s="1"/>
      <c r="J340" s="2"/>
      <c r="T340" s="2"/>
    </row>
    <row r="341" spans="2:20">
      <c r="B341" s="1"/>
      <c r="C341" s="4"/>
      <c r="D341" s="1"/>
      <c r="E341" s="1"/>
      <c r="F341" s="1"/>
      <c r="G341" s="1"/>
      <c r="J341" s="2"/>
      <c r="T341" s="2"/>
    </row>
    <row r="342" spans="2:20">
      <c r="B342" s="1"/>
      <c r="C342" s="4"/>
      <c r="D342" s="1"/>
      <c r="E342" s="1"/>
      <c r="F342" s="1"/>
      <c r="G342" s="1"/>
      <c r="J342" s="2"/>
      <c r="T342" s="2"/>
    </row>
    <row r="343" spans="2:20">
      <c r="B343" s="1"/>
      <c r="C343" s="4"/>
      <c r="D343" s="1"/>
      <c r="E343" s="1"/>
      <c r="F343" s="1"/>
      <c r="G343" s="1"/>
      <c r="J343" s="2"/>
      <c r="T343" s="2"/>
    </row>
    <row r="344" spans="2:20">
      <c r="B344" s="1"/>
      <c r="C344" s="4"/>
      <c r="D344" s="1"/>
      <c r="E344" s="1"/>
      <c r="F344" s="1"/>
      <c r="G344" s="1"/>
      <c r="J344" s="2"/>
      <c r="T344" s="2"/>
    </row>
    <row r="345" spans="2:20">
      <c r="B345" s="1"/>
      <c r="C345" s="4"/>
      <c r="D345" s="1"/>
      <c r="E345" s="1"/>
      <c r="F345" s="1"/>
      <c r="G345" s="1"/>
      <c r="J345" s="2"/>
      <c r="T345" s="2"/>
    </row>
    <row r="346" spans="2:20">
      <c r="B346" s="1"/>
      <c r="C346" s="4"/>
      <c r="D346" s="1"/>
      <c r="E346" s="1"/>
      <c r="F346" s="1"/>
      <c r="G346" s="1"/>
      <c r="J346" s="2"/>
      <c r="T346" s="2"/>
    </row>
    <row r="347" spans="2:20">
      <c r="B347" s="1"/>
      <c r="C347" s="4"/>
      <c r="D347" s="1"/>
      <c r="E347" s="1"/>
      <c r="F347" s="1"/>
      <c r="G347" s="1"/>
      <c r="J347" s="2"/>
      <c r="T347" s="2"/>
    </row>
    <row r="348" spans="2:20">
      <c r="B348" s="1"/>
      <c r="C348" s="4"/>
      <c r="D348" s="1"/>
      <c r="E348" s="1"/>
      <c r="F348" s="1"/>
      <c r="G348" s="1"/>
      <c r="J348" s="2"/>
      <c r="T348" s="2"/>
    </row>
    <row r="349" spans="2:20">
      <c r="B349" s="1"/>
      <c r="C349" s="4"/>
      <c r="D349" s="1"/>
      <c r="E349" s="1"/>
      <c r="F349" s="1"/>
      <c r="G349" s="1"/>
      <c r="J349" s="2"/>
      <c r="T349" s="2"/>
    </row>
    <row r="350" spans="2:20">
      <c r="B350" s="1"/>
      <c r="C350" s="4"/>
      <c r="D350" s="1"/>
      <c r="E350" s="1"/>
      <c r="F350" s="1"/>
      <c r="G350" s="1"/>
      <c r="J350" s="2"/>
      <c r="T350" s="2"/>
    </row>
    <row r="351" spans="2:20">
      <c r="B351" s="1"/>
      <c r="C351" s="4"/>
      <c r="D351" s="1"/>
      <c r="E351" s="1"/>
      <c r="F351" s="1"/>
      <c r="G351" s="1"/>
      <c r="J351" s="2"/>
      <c r="T351" s="2"/>
    </row>
    <row r="352" spans="2:20">
      <c r="B352" s="1"/>
      <c r="C352" s="4"/>
      <c r="D352" s="1"/>
      <c r="E352" s="1"/>
      <c r="F352" s="1"/>
      <c r="G352" s="1"/>
      <c r="J352" s="2"/>
      <c r="T352" s="2"/>
    </row>
    <row r="353" spans="2:20">
      <c r="B353" s="1"/>
      <c r="C353" s="4"/>
      <c r="D353" s="1"/>
      <c r="E353" s="1"/>
      <c r="F353" s="1"/>
      <c r="G353" s="1"/>
      <c r="J353" s="2"/>
      <c r="T353" s="2"/>
    </row>
    <row r="354" spans="2:20">
      <c r="B354" s="1"/>
      <c r="C354" s="4"/>
      <c r="D354" s="1"/>
      <c r="E354" s="1"/>
      <c r="F354" s="1"/>
      <c r="G354" s="1"/>
      <c r="J354" s="2"/>
      <c r="T354" s="2"/>
    </row>
    <row r="355" spans="2:20">
      <c r="B355" s="1"/>
      <c r="C355" s="4"/>
      <c r="D355" s="1"/>
      <c r="E355" s="1"/>
      <c r="F355" s="1"/>
      <c r="G355" s="1"/>
      <c r="J355" s="2"/>
      <c r="T355" s="2"/>
    </row>
    <row r="356" spans="2:20">
      <c r="B356" s="1"/>
      <c r="C356" s="4"/>
      <c r="D356" s="1"/>
      <c r="E356" s="1"/>
      <c r="F356" s="1"/>
      <c r="G356" s="1"/>
      <c r="J356" s="2"/>
      <c r="T356" s="2"/>
    </row>
    <row r="357" spans="2:20">
      <c r="B357" s="1"/>
      <c r="C357" s="4"/>
      <c r="D357" s="1"/>
      <c r="E357" s="1"/>
      <c r="F357" s="1"/>
      <c r="G357" s="1"/>
      <c r="J357" s="2"/>
      <c r="T357" s="2"/>
    </row>
    <row r="358" spans="2:20">
      <c r="B358" s="1"/>
      <c r="C358" s="4"/>
      <c r="D358" s="1"/>
      <c r="E358" s="1"/>
      <c r="F358" s="1"/>
      <c r="G358" s="1"/>
      <c r="J358" s="2"/>
      <c r="T358" s="2"/>
    </row>
    <row r="359" spans="2:20">
      <c r="B359" s="1"/>
      <c r="C359" s="4"/>
      <c r="D359" s="1"/>
      <c r="E359" s="1"/>
      <c r="F359" s="1"/>
      <c r="G359" s="1"/>
      <c r="J359" s="2"/>
      <c r="T359" s="2"/>
    </row>
    <row r="360" spans="2:20">
      <c r="B360" s="1"/>
      <c r="C360" s="4"/>
      <c r="D360" s="1"/>
      <c r="E360" s="1"/>
      <c r="F360" s="1"/>
      <c r="G360" s="1"/>
      <c r="J360" s="2"/>
      <c r="T360" s="2"/>
    </row>
    <row r="361" spans="2:20">
      <c r="B361" s="1"/>
      <c r="C361" s="4"/>
      <c r="D361" s="1"/>
      <c r="E361" s="1"/>
      <c r="F361" s="1"/>
      <c r="G361" s="1"/>
      <c r="J361" s="2"/>
      <c r="T361" s="2"/>
    </row>
    <row r="362" spans="2:20">
      <c r="B362" s="1"/>
      <c r="C362" s="4"/>
      <c r="D362" s="1"/>
      <c r="E362" s="1"/>
      <c r="F362" s="1"/>
      <c r="G362" s="1"/>
      <c r="J362" s="2"/>
      <c r="T362" s="2"/>
    </row>
    <row r="363" spans="2:20">
      <c r="B363" s="1"/>
      <c r="C363" s="4"/>
      <c r="D363" s="1"/>
      <c r="E363" s="1"/>
      <c r="F363" s="1"/>
      <c r="G363" s="1"/>
      <c r="J363" s="2"/>
      <c r="T363" s="2"/>
    </row>
    <row r="364" spans="2:20">
      <c r="B364" s="1"/>
      <c r="C364" s="4"/>
      <c r="D364" s="1"/>
      <c r="E364" s="1"/>
      <c r="F364" s="1"/>
      <c r="G364" s="1"/>
      <c r="J364" s="2"/>
      <c r="T364" s="2"/>
    </row>
    <row r="365" spans="2:20">
      <c r="B365" s="1"/>
      <c r="C365" s="4"/>
      <c r="D365" s="1"/>
      <c r="E365" s="1"/>
      <c r="F365" s="1"/>
      <c r="G365" s="1"/>
      <c r="J365" s="2"/>
      <c r="T365" s="2"/>
    </row>
    <row r="366" spans="2:20">
      <c r="B366" s="1"/>
      <c r="C366" s="4"/>
      <c r="D366" s="1"/>
      <c r="E366" s="1"/>
      <c r="F366" s="1"/>
      <c r="G366" s="1"/>
      <c r="J366" s="2"/>
      <c r="T366" s="2"/>
    </row>
    <row r="367" spans="2:20">
      <c r="B367" s="1"/>
      <c r="C367" s="4"/>
      <c r="D367" s="1"/>
      <c r="E367" s="1"/>
      <c r="F367" s="1"/>
      <c r="G367" s="1"/>
      <c r="J367" s="2"/>
      <c r="T367" s="2"/>
    </row>
    <row r="368" spans="2:20">
      <c r="B368" s="1"/>
      <c r="C368" s="4"/>
      <c r="D368" s="1"/>
      <c r="E368" s="1"/>
      <c r="F368" s="1"/>
      <c r="G368" s="1"/>
      <c r="J368" s="2"/>
      <c r="T368" s="2"/>
    </row>
    <row r="369" spans="2:20">
      <c r="B369" s="1"/>
      <c r="C369" s="4"/>
      <c r="D369" s="1"/>
      <c r="E369" s="1"/>
      <c r="F369" s="1"/>
      <c r="G369" s="1"/>
      <c r="J369" s="2"/>
      <c r="T369" s="2"/>
    </row>
    <row r="370" spans="2:20">
      <c r="B370" s="1"/>
      <c r="C370" s="4"/>
      <c r="D370" s="1"/>
      <c r="E370" s="1"/>
      <c r="F370" s="1"/>
      <c r="G370" s="1"/>
      <c r="J370" s="2"/>
      <c r="T370" s="2"/>
    </row>
    <row r="371" spans="2:20">
      <c r="B371" s="1"/>
      <c r="C371" s="4"/>
      <c r="D371" s="1"/>
      <c r="E371" s="1"/>
      <c r="F371" s="1"/>
      <c r="G371" s="1"/>
      <c r="J371" s="2"/>
      <c r="T371" s="2"/>
    </row>
    <row r="372" spans="2:20">
      <c r="B372" s="1"/>
      <c r="C372" s="4"/>
      <c r="D372" s="1"/>
      <c r="E372" s="1"/>
      <c r="F372" s="1"/>
      <c r="G372" s="1"/>
      <c r="J372" s="2"/>
      <c r="T372" s="2"/>
    </row>
    <row r="373" spans="2:20">
      <c r="B373" s="1"/>
      <c r="C373" s="4"/>
      <c r="D373" s="1"/>
      <c r="E373" s="1"/>
      <c r="F373" s="1"/>
      <c r="G373" s="1"/>
      <c r="J373" s="2"/>
      <c r="T373" s="2"/>
    </row>
    <row r="374" spans="2:20">
      <c r="B374" s="1"/>
      <c r="C374" s="4"/>
      <c r="D374" s="1"/>
      <c r="E374" s="1"/>
      <c r="F374" s="1"/>
      <c r="G374" s="1"/>
      <c r="J374" s="2"/>
      <c r="T374" s="2"/>
    </row>
    <row r="375" spans="2:20">
      <c r="B375" s="1"/>
      <c r="C375" s="4"/>
      <c r="D375" s="1"/>
      <c r="E375" s="1"/>
      <c r="F375" s="1"/>
      <c r="G375" s="1"/>
      <c r="J375" s="2"/>
      <c r="T375" s="2"/>
    </row>
    <row r="376" spans="2:20">
      <c r="B376" s="1"/>
      <c r="C376" s="4"/>
      <c r="D376" s="1"/>
      <c r="E376" s="1"/>
      <c r="F376" s="1"/>
      <c r="G376" s="1"/>
      <c r="J376" s="2"/>
      <c r="T376" s="2"/>
    </row>
    <row r="377" spans="2:20">
      <c r="B377" s="1"/>
      <c r="C377" s="4"/>
      <c r="D377" s="1"/>
      <c r="E377" s="1"/>
      <c r="F377" s="1"/>
      <c r="G377" s="1"/>
      <c r="J377" s="2"/>
      <c r="T377" s="2"/>
    </row>
    <row r="378" spans="2:20">
      <c r="B378" s="1"/>
      <c r="C378" s="4"/>
      <c r="D378" s="1"/>
      <c r="E378" s="1"/>
      <c r="F378" s="1"/>
      <c r="G378" s="1"/>
      <c r="J378" s="2"/>
      <c r="T378" s="2"/>
    </row>
    <row r="379" spans="2:20">
      <c r="B379" s="1"/>
      <c r="C379" s="4"/>
      <c r="D379" s="1"/>
      <c r="E379" s="1"/>
      <c r="F379" s="1"/>
      <c r="G379" s="1"/>
      <c r="J379" s="2"/>
      <c r="T379" s="2"/>
    </row>
    <row r="380" spans="2:20">
      <c r="B380" s="1"/>
      <c r="C380" s="4"/>
      <c r="D380" s="1"/>
      <c r="E380" s="1"/>
      <c r="F380" s="1"/>
      <c r="G380" s="1"/>
      <c r="J380" s="2"/>
      <c r="T380" s="2"/>
    </row>
    <row r="381" spans="2:20">
      <c r="B381" s="1"/>
      <c r="C381" s="4"/>
      <c r="D381" s="1"/>
      <c r="E381" s="1"/>
      <c r="F381" s="1"/>
      <c r="G381" s="1"/>
      <c r="J381" s="2"/>
      <c r="T381" s="2"/>
    </row>
    <row r="382" spans="2:20">
      <c r="B382" s="1"/>
      <c r="C382" s="4"/>
      <c r="D382" s="1"/>
      <c r="E382" s="1"/>
      <c r="F382" s="1"/>
      <c r="G382" s="1"/>
      <c r="J382" s="2"/>
      <c r="T382" s="2"/>
    </row>
    <row r="383" spans="2:20">
      <c r="B383" s="1"/>
      <c r="C383" s="4"/>
      <c r="D383" s="1"/>
      <c r="E383" s="1"/>
      <c r="F383" s="1"/>
      <c r="G383" s="1"/>
      <c r="J383" s="2"/>
      <c r="T383" s="2"/>
    </row>
    <row r="384" spans="2:20">
      <c r="B384" s="1"/>
      <c r="C384" s="4"/>
      <c r="D384" s="1"/>
      <c r="E384" s="1"/>
      <c r="F384" s="1"/>
      <c r="G384" s="1"/>
      <c r="J384" s="2"/>
      <c r="T384" s="2"/>
    </row>
    <row r="385" spans="2:20">
      <c r="B385" s="1"/>
      <c r="C385" s="4"/>
      <c r="D385" s="1"/>
      <c r="E385" s="1"/>
      <c r="F385" s="1"/>
      <c r="G385" s="1"/>
      <c r="J385" s="2"/>
      <c r="T385" s="2"/>
    </row>
    <row r="386" spans="2:20">
      <c r="B386" s="1"/>
      <c r="C386" s="4"/>
      <c r="D386" s="1"/>
      <c r="E386" s="1"/>
      <c r="F386" s="1"/>
      <c r="G386" s="1"/>
      <c r="J386" s="2"/>
      <c r="T386" s="2"/>
    </row>
    <row r="387" spans="2:20">
      <c r="B387" s="1"/>
      <c r="C387" s="4"/>
      <c r="D387" s="1"/>
      <c r="E387" s="1"/>
      <c r="F387" s="1"/>
      <c r="G387" s="1"/>
      <c r="J387" s="2"/>
      <c r="T387" s="2"/>
    </row>
    <row r="388" spans="2:20">
      <c r="B388" s="1"/>
      <c r="C388" s="4"/>
      <c r="D388" s="1"/>
      <c r="E388" s="1"/>
      <c r="F388" s="1"/>
      <c r="G388" s="1"/>
      <c r="J388" s="2"/>
      <c r="T388" s="2"/>
    </row>
    <row r="389" spans="2:20">
      <c r="B389" s="1"/>
      <c r="C389" s="4"/>
      <c r="D389" s="1"/>
      <c r="E389" s="1"/>
      <c r="F389" s="1"/>
      <c r="G389" s="1"/>
      <c r="J389" s="2"/>
      <c r="T389" s="2"/>
    </row>
    <row r="390" spans="2:20">
      <c r="B390" s="1"/>
      <c r="C390" s="4"/>
      <c r="D390" s="1"/>
      <c r="E390" s="1"/>
      <c r="F390" s="1"/>
      <c r="G390" s="1"/>
      <c r="J390" s="2"/>
      <c r="T390" s="2"/>
    </row>
    <row r="391" spans="2:20">
      <c r="B391" s="1"/>
      <c r="C391" s="4"/>
      <c r="D391" s="1"/>
      <c r="E391" s="1"/>
      <c r="F391" s="1"/>
      <c r="G391" s="1"/>
      <c r="J391" s="2"/>
      <c r="T391" s="2"/>
    </row>
    <row r="392" spans="2:20">
      <c r="B392" s="1"/>
      <c r="C392" s="4"/>
      <c r="D392" s="1"/>
      <c r="E392" s="1"/>
      <c r="F392" s="1"/>
      <c r="G392" s="1"/>
      <c r="J392" s="2"/>
      <c r="T392" s="2"/>
    </row>
    <row r="393" spans="2:20">
      <c r="B393" s="1"/>
      <c r="C393" s="4"/>
      <c r="D393" s="1"/>
      <c r="E393" s="1"/>
      <c r="F393" s="1"/>
      <c r="G393" s="1"/>
      <c r="J393" s="2"/>
      <c r="T393" s="2"/>
    </row>
    <row r="394" spans="2:20">
      <c r="B394" s="1"/>
      <c r="C394" s="4"/>
      <c r="D394" s="1"/>
      <c r="E394" s="1"/>
      <c r="F394" s="1"/>
      <c r="G394" s="1"/>
      <c r="J394" s="2"/>
      <c r="T394" s="2"/>
    </row>
    <row r="395" spans="2:20">
      <c r="B395" s="1"/>
      <c r="C395" s="4"/>
      <c r="D395" s="1"/>
      <c r="E395" s="1"/>
      <c r="F395" s="1"/>
      <c r="G395" s="1"/>
      <c r="J395" s="2"/>
      <c r="T395" s="2"/>
    </row>
    <row r="396" spans="2:20">
      <c r="B396" s="1"/>
      <c r="C396" s="4"/>
      <c r="D396" s="1"/>
      <c r="E396" s="1"/>
      <c r="F396" s="1"/>
      <c r="G396" s="1"/>
      <c r="J396" s="2"/>
      <c r="T396" s="2"/>
    </row>
    <row r="397" spans="2:20">
      <c r="B397" s="1"/>
      <c r="C397" s="4"/>
      <c r="D397" s="1"/>
      <c r="E397" s="1"/>
      <c r="F397" s="1"/>
      <c r="G397" s="1"/>
      <c r="J397" s="2"/>
      <c r="T397" s="2"/>
    </row>
    <row r="398" spans="2:20">
      <c r="B398" s="1"/>
      <c r="C398" s="4"/>
      <c r="D398" s="1"/>
      <c r="E398" s="1"/>
      <c r="F398" s="1"/>
      <c r="G398" s="1"/>
      <c r="J398" s="2"/>
      <c r="T398" s="2"/>
    </row>
    <row r="399" spans="2:20">
      <c r="B399" s="1"/>
      <c r="C399" s="4"/>
      <c r="D399" s="1"/>
      <c r="E399" s="1"/>
      <c r="F399" s="1"/>
      <c r="G399" s="1"/>
      <c r="J399" s="2"/>
      <c r="T399" s="2"/>
    </row>
    <row r="400" spans="2:20">
      <c r="B400" s="1"/>
      <c r="C400" s="4"/>
      <c r="D400" s="1"/>
      <c r="E400" s="1"/>
      <c r="F400" s="1"/>
      <c r="G400" s="1"/>
      <c r="J400" s="2"/>
      <c r="T400" s="2"/>
    </row>
    <row r="401" spans="2:20">
      <c r="B401" s="1"/>
      <c r="C401" s="4"/>
      <c r="D401" s="1"/>
      <c r="E401" s="1"/>
      <c r="F401" s="1"/>
      <c r="G401" s="1"/>
      <c r="J401" s="2"/>
      <c r="T401" s="2"/>
    </row>
    <row r="402" spans="2:20">
      <c r="B402" s="1"/>
      <c r="C402" s="4"/>
      <c r="D402" s="1"/>
      <c r="E402" s="1"/>
      <c r="F402" s="1"/>
      <c r="G402" s="1"/>
      <c r="J402" s="2"/>
      <c r="T402" s="2"/>
    </row>
    <row r="403" spans="2:20">
      <c r="B403" s="1"/>
      <c r="C403" s="4"/>
      <c r="D403" s="1"/>
      <c r="E403" s="1"/>
      <c r="F403" s="1"/>
      <c r="G403" s="1"/>
      <c r="J403" s="2"/>
      <c r="T403" s="2"/>
    </row>
    <row r="404" spans="2:20">
      <c r="B404" s="1"/>
      <c r="C404" s="4"/>
      <c r="D404" s="1"/>
      <c r="E404" s="1"/>
      <c r="F404" s="1"/>
      <c r="G404" s="1"/>
      <c r="J404" s="2"/>
      <c r="T404" s="2"/>
    </row>
    <row r="405" spans="2:20">
      <c r="B405" s="1"/>
      <c r="C405" s="4"/>
      <c r="D405" s="1"/>
      <c r="E405" s="1"/>
      <c r="F405" s="1"/>
      <c r="G405" s="1"/>
      <c r="J405" s="2"/>
      <c r="T405" s="2"/>
    </row>
    <row r="406" spans="2:20">
      <c r="B406" s="1"/>
      <c r="C406" s="4"/>
      <c r="D406" s="1"/>
      <c r="E406" s="1"/>
      <c r="F406" s="1"/>
      <c r="G406" s="1"/>
      <c r="J406" s="2"/>
      <c r="T406" s="2"/>
    </row>
    <row r="407" spans="2:20">
      <c r="B407" s="1"/>
      <c r="C407" s="4"/>
      <c r="D407" s="1"/>
      <c r="E407" s="1"/>
      <c r="F407" s="1"/>
      <c r="G407" s="1"/>
      <c r="J407" s="2"/>
      <c r="T407" s="2"/>
    </row>
    <row r="408" spans="2:20">
      <c r="B408" s="1"/>
      <c r="C408" s="4"/>
      <c r="D408" s="1"/>
      <c r="E408" s="1"/>
      <c r="F408" s="1"/>
      <c r="G408" s="1"/>
      <c r="J408" s="2"/>
      <c r="T408" s="2"/>
    </row>
    <row r="409" spans="2:20">
      <c r="B409" s="1"/>
      <c r="C409" s="4"/>
      <c r="D409" s="1"/>
      <c r="E409" s="1"/>
      <c r="F409" s="1"/>
      <c r="G409" s="1"/>
      <c r="J409" s="2"/>
      <c r="T409" s="2"/>
    </row>
    <row r="410" spans="2:20">
      <c r="B410" s="1"/>
      <c r="C410" s="4"/>
      <c r="D410" s="1"/>
      <c r="E410" s="1"/>
      <c r="F410" s="1"/>
      <c r="G410" s="1"/>
      <c r="J410" s="2"/>
      <c r="T410" s="2"/>
    </row>
    <row r="411" spans="2:20">
      <c r="B411" s="1"/>
      <c r="C411" s="4"/>
      <c r="D411" s="1"/>
      <c r="E411" s="1"/>
      <c r="F411" s="1"/>
      <c r="G411" s="1"/>
      <c r="J411" s="2"/>
      <c r="T411" s="2"/>
    </row>
    <row r="412" spans="2:20">
      <c r="B412" s="1"/>
      <c r="C412" s="4"/>
      <c r="D412" s="1"/>
      <c r="E412" s="1"/>
      <c r="F412" s="1"/>
      <c r="G412" s="1"/>
      <c r="J412" s="2"/>
      <c r="T412" s="2"/>
    </row>
    <row r="413" spans="2:20">
      <c r="B413" s="1"/>
      <c r="C413" s="4"/>
      <c r="D413" s="1"/>
      <c r="E413" s="1"/>
      <c r="F413" s="1"/>
      <c r="G413" s="1"/>
      <c r="J413" s="2"/>
      <c r="T413" s="2"/>
    </row>
    <row r="414" spans="2:20">
      <c r="B414" s="1"/>
      <c r="C414" s="4"/>
      <c r="D414" s="1"/>
      <c r="E414" s="1"/>
      <c r="F414" s="1"/>
      <c r="G414" s="1"/>
      <c r="J414" s="2"/>
      <c r="T414" s="2"/>
    </row>
    <row r="415" spans="2:20">
      <c r="B415" s="1"/>
      <c r="C415" s="4"/>
      <c r="D415" s="1"/>
      <c r="E415" s="1"/>
      <c r="F415" s="1"/>
      <c r="G415" s="1"/>
      <c r="J415" s="2"/>
      <c r="T415" s="2"/>
    </row>
    <row r="416" spans="2:20">
      <c r="B416" s="1"/>
      <c r="C416" s="4"/>
      <c r="D416" s="1"/>
      <c r="E416" s="1"/>
      <c r="F416" s="1"/>
      <c r="G416" s="1"/>
      <c r="J416" s="2"/>
      <c r="T416" s="2"/>
    </row>
    <row r="417" spans="2:20">
      <c r="B417" s="1"/>
      <c r="C417" s="4"/>
      <c r="D417" s="1"/>
      <c r="E417" s="1"/>
      <c r="F417" s="1"/>
      <c r="G417" s="1"/>
      <c r="J417" s="2"/>
      <c r="T417" s="2"/>
    </row>
    <row r="418" spans="2:20">
      <c r="B418" s="1"/>
      <c r="C418" s="4"/>
      <c r="D418" s="1"/>
      <c r="E418" s="1"/>
      <c r="F418" s="1"/>
      <c r="G418" s="1"/>
      <c r="J418" s="2"/>
      <c r="T418" s="2"/>
    </row>
    <row r="419" spans="2:20">
      <c r="B419" s="1"/>
      <c r="C419" s="4"/>
      <c r="D419" s="1"/>
      <c r="E419" s="1"/>
      <c r="F419" s="1"/>
      <c r="G419" s="1"/>
      <c r="J419" s="2"/>
      <c r="T419" s="2"/>
    </row>
    <row r="420" spans="2:20">
      <c r="B420" s="1"/>
      <c r="C420" s="4"/>
      <c r="D420" s="1"/>
      <c r="E420" s="1"/>
      <c r="F420" s="1"/>
      <c r="G420" s="1"/>
      <c r="J420" s="2"/>
      <c r="T420" s="2"/>
    </row>
    <row r="421" spans="2:20">
      <c r="B421" s="1"/>
      <c r="C421" s="4"/>
      <c r="D421" s="1"/>
      <c r="E421" s="1"/>
      <c r="F421" s="1"/>
      <c r="G421" s="1"/>
      <c r="J421" s="2"/>
      <c r="T421" s="2"/>
    </row>
    <row r="422" spans="2:20">
      <c r="B422" s="1"/>
      <c r="C422" s="4"/>
      <c r="D422" s="1"/>
      <c r="E422" s="1"/>
      <c r="F422" s="1"/>
      <c r="G422" s="1"/>
      <c r="J422" s="2"/>
      <c r="T422" s="2"/>
    </row>
    <row r="423" spans="2:20">
      <c r="B423" s="1"/>
      <c r="C423" s="4"/>
      <c r="D423" s="1"/>
      <c r="E423" s="1"/>
      <c r="F423" s="1"/>
      <c r="G423" s="1"/>
      <c r="J423" s="2"/>
      <c r="T423" s="2"/>
    </row>
    <row r="424" spans="2:20">
      <c r="B424" s="1"/>
      <c r="C424" s="4"/>
      <c r="D424" s="1"/>
      <c r="E424" s="1"/>
      <c r="F424" s="1"/>
      <c r="G424" s="1"/>
      <c r="J424" s="2"/>
      <c r="T424" s="2"/>
    </row>
    <row r="425" spans="2:20">
      <c r="B425" s="1"/>
      <c r="C425" s="4"/>
      <c r="D425" s="1"/>
      <c r="E425" s="1"/>
      <c r="F425" s="1"/>
      <c r="G425" s="1"/>
      <c r="J425" s="2"/>
      <c r="T425" s="2"/>
    </row>
    <row r="426" spans="2:20">
      <c r="B426" s="1"/>
      <c r="C426" s="4"/>
      <c r="D426" s="1"/>
      <c r="E426" s="1"/>
      <c r="F426" s="1"/>
      <c r="G426" s="1"/>
      <c r="J426" s="2"/>
      <c r="T426" s="2"/>
    </row>
    <row r="427" spans="2:20">
      <c r="B427" s="1"/>
      <c r="C427" s="4"/>
      <c r="D427" s="1"/>
      <c r="E427" s="1"/>
      <c r="F427" s="1"/>
      <c r="G427" s="1"/>
      <c r="J427" s="2"/>
      <c r="T427" s="2"/>
    </row>
    <row r="428" spans="2:20">
      <c r="B428" s="1"/>
      <c r="C428" s="4"/>
      <c r="D428" s="1"/>
      <c r="E428" s="1"/>
      <c r="F428" s="1"/>
      <c r="G428" s="1"/>
      <c r="J428" s="2"/>
      <c r="T428" s="2"/>
    </row>
    <row r="429" spans="2:20">
      <c r="B429" s="1"/>
      <c r="C429" s="4"/>
      <c r="D429" s="1"/>
      <c r="E429" s="1"/>
      <c r="F429" s="1"/>
      <c r="G429" s="1"/>
      <c r="J429" s="2"/>
      <c r="T429" s="2"/>
    </row>
    <row r="430" spans="2:20">
      <c r="B430" s="1"/>
      <c r="C430" s="4"/>
      <c r="D430" s="1"/>
      <c r="E430" s="1"/>
      <c r="F430" s="1"/>
      <c r="G430" s="1"/>
      <c r="J430" s="2"/>
      <c r="T430" s="2"/>
    </row>
    <row r="431" spans="2:20">
      <c r="B431" s="1"/>
      <c r="C431" s="4"/>
      <c r="D431" s="1"/>
      <c r="E431" s="1"/>
      <c r="F431" s="1"/>
      <c r="G431" s="1"/>
      <c r="J431" s="2"/>
      <c r="T431" s="2"/>
    </row>
    <row r="432" spans="2:20">
      <c r="B432" s="1"/>
      <c r="C432" s="4"/>
      <c r="D432" s="1"/>
      <c r="E432" s="1"/>
      <c r="F432" s="1"/>
      <c r="G432" s="1"/>
      <c r="J432" s="2"/>
      <c r="T432" s="2"/>
    </row>
    <row r="433" spans="2:20">
      <c r="B433" s="1"/>
      <c r="C433" s="4"/>
      <c r="D433" s="1"/>
      <c r="E433" s="1"/>
      <c r="F433" s="1"/>
      <c r="G433" s="1"/>
      <c r="J433" s="2"/>
      <c r="T433" s="2"/>
    </row>
    <row r="434" spans="2:20">
      <c r="B434" s="1"/>
      <c r="C434" s="4"/>
      <c r="D434" s="1"/>
      <c r="E434" s="1"/>
      <c r="F434" s="1"/>
      <c r="G434" s="1"/>
      <c r="J434" s="2"/>
      <c r="T434" s="2"/>
    </row>
    <row r="435" spans="2:20">
      <c r="B435" s="1"/>
      <c r="C435" s="4"/>
      <c r="D435" s="1"/>
      <c r="E435" s="1"/>
      <c r="F435" s="1"/>
      <c r="G435" s="1"/>
      <c r="J435" s="2"/>
      <c r="T435" s="2"/>
    </row>
    <row r="436" spans="2:20">
      <c r="B436" s="1"/>
      <c r="C436" s="4"/>
      <c r="D436" s="1"/>
      <c r="E436" s="1"/>
      <c r="F436" s="1"/>
      <c r="G436" s="1"/>
      <c r="J436" s="2"/>
      <c r="T436" s="2"/>
    </row>
    <row r="437" spans="2:20">
      <c r="B437" s="1"/>
      <c r="C437" s="4"/>
      <c r="D437" s="1"/>
      <c r="E437" s="1"/>
      <c r="F437" s="1"/>
      <c r="G437" s="1"/>
      <c r="J437" s="2"/>
      <c r="T437" s="2"/>
    </row>
    <row r="438" spans="2:20">
      <c r="B438" s="1"/>
      <c r="C438" s="4"/>
      <c r="D438" s="1"/>
      <c r="E438" s="1"/>
      <c r="F438" s="1"/>
      <c r="G438" s="1"/>
      <c r="J438" s="2"/>
      <c r="T438" s="2"/>
    </row>
    <row r="439" spans="2:20">
      <c r="B439" s="1"/>
      <c r="C439" s="4"/>
      <c r="D439" s="1"/>
      <c r="E439" s="1"/>
      <c r="F439" s="1"/>
      <c r="G439" s="1"/>
      <c r="J439" s="2"/>
      <c r="T439" s="2"/>
    </row>
    <row r="440" spans="2:20">
      <c r="B440" s="1"/>
      <c r="C440" s="4"/>
      <c r="D440" s="1"/>
      <c r="E440" s="1"/>
      <c r="F440" s="1"/>
      <c r="G440" s="1"/>
      <c r="J440" s="2"/>
      <c r="T440" s="2"/>
    </row>
    <row r="441" spans="2:20">
      <c r="B441" s="1"/>
      <c r="C441" s="4"/>
      <c r="D441" s="1"/>
      <c r="E441" s="1"/>
      <c r="F441" s="1"/>
      <c r="G441" s="1"/>
      <c r="J441" s="2"/>
      <c r="T441" s="2"/>
    </row>
    <row r="442" spans="2:20">
      <c r="B442" s="1"/>
      <c r="C442" s="4"/>
      <c r="D442" s="1"/>
      <c r="E442" s="1"/>
      <c r="F442" s="1"/>
      <c r="G442" s="1"/>
      <c r="J442" s="2"/>
      <c r="T442" s="2"/>
    </row>
    <row r="443" spans="2:20">
      <c r="B443" s="1"/>
      <c r="C443" s="4"/>
      <c r="D443" s="1"/>
      <c r="E443" s="1"/>
      <c r="F443" s="1"/>
      <c r="G443" s="1"/>
      <c r="J443" s="2"/>
      <c r="T443" s="2"/>
    </row>
    <row r="444" spans="2:20">
      <c r="B444" s="1"/>
      <c r="C444" s="4"/>
      <c r="D444" s="1"/>
      <c r="E444" s="1"/>
      <c r="F444" s="1"/>
      <c r="G444" s="1"/>
      <c r="J444" s="2"/>
      <c r="T444" s="2"/>
    </row>
    <row r="445" spans="2:20">
      <c r="B445" s="1"/>
      <c r="C445" s="4"/>
      <c r="D445" s="1"/>
      <c r="E445" s="1"/>
      <c r="F445" s="1"/>
      <c r="G445" s="1"/>
      <c r="J445" s="2"/>
      <c r="T445" s="2"/>
    </row>
    <row r="446" spans="2:20">
      <c r="B446" s="1"/>
      <c r="C446" s="4"/>
      <c r="D446" s="1"/>
      <c r="E446" s="1"/>
      <c r="F446" s="1"/>
      <c r="G446" s="1"/>
      <c r="J446" s="2"/>
      <c r="T446" s="2"/>
    </row>
    <row r="447" spans="2:20">
      <c r="B447" s="1"/>
      <c r="C447" s="4"/>
      <c r="D447" s="1"/>
      <c r="E447" s="1"/>
      <c r="F447" s="1"/>
      <c r="G447" s="1"/>
      <c r="J447" s="2"/>
      <c r="T447" s="2"/>
    </row>
    <row r="448" spans="2:20">
      <c r="B448" s="1"/>
      <c r="C448" s="4"/>
      <c r="D448" s="1"/>
      <c r="E448" s="1"/>
      <c r="F448" s="1"/>
      <c r="G448" s="1"/>
      <c r="J448" s="2"/>
      <c r="T448" s="2"/>
    </row>
    <row r="449" spans="2:20">
      <c r="B449" s="1"/>
      <c r="C449" s="4"/>
      <c r="D449" s="1"/>
      <c r="E449" s="1"/>
      <c r="F449" s="1"/>
      <c r="G449" s="1"/>
      <c r="J449" s="2"/>
      <c r="T449" s="2"/>
    </row>
    <row r="450" spans="2:20">
      <c r="B450" s="1"/>
      <c r="C450" s="4"/>
      <c r="D450" s="1"/>
      <c r="E450" s="1"/>
      <c r="F450" s="1"/>
      <c r="G450" s="1"/>
      <c r="J450" s="2"/>
      <c r="T450" s="2"/>
    </row>
    <row r="451" spans="2:20">
      <c r="B451" s="1"/>
      <c r="C451" s="4"/>
      <c r="D451" s="1"/>
      <c r="E451" s="1"/>
      <c r="F451" s="1"/>
      <c r="G451" s="1"/>
      <c r="J451" s="2"/>
      <c r="T451" s="2"/>
    </row>
    <row r="452" spans="2:20">
      <c r="B452" s="1"/>
      <c r="C452" s="4"/>
      <c r="D452" s="1"/>
      <c r="E452" s="1"/>
      <c r="F452" s="1"/>
      <c r="G452" s="1"/>
      <c r="J452" s="2"/>
      <c r="T452" s="2"/>
    </row>
    <row r="453" spans="2:20">
      <c r="B453" s="1"/>
      <c r="C453" s="4"/>
      <c r="D453" s="1"/>
      <c r="E453" s="1"/>
      <c r="F453" s="1"/>
      <c r="G453" s="1"/>
      <c r="J453" s="2"/>
      <c r="T453" s="2"/>
    </row>
    <row r="454" spans="2:20">
      <c r="B454" s="1"/>
      <c r="C454" s="4"/>
      <c r="D454" s="1"/>
      <c r="E454" s="1"/>
      <c r="F454" s="1"/>
      <c r="G454" s="1"/>
      <c r="J454" s="2"/>
      <c r="T454" s="2"/>
    </row>
    <row r="455" spans="2:20">
      <c r="B455" s="1"/>
      <c r="C455" s="4"/>
      <c r="D455" s="1"/>
      <c r="E455" s="1"/>
      <c r="F455" s="1"/>
      <c r="G455" s="1"/>
      <c r="J455" s="2"/>
      <c r="T455" s="2"/>
    </row>
    <row r="456" spans="2:20">
      <c r="B456" s="1"/>
      <c r="C456" s="4"/>
      <c r="D456" s="1"/>
      <c r="E456" s="1"/>
      <c r="F456" s="1"/>
      <c r="G456" s="1"/>
      <c r="J456" s="2"/>
      <c r="T456" s="2"/>
    </row>
    <row r="457" spans="2:20">
      <c r="B457" s="1"/>
      <c r="C457" s="4"/>
      <c r="D457" s="1"/>
      <c r="E457" s="1"/>
      <c r="F457" s="1"/>
      <c r="G457" s="1"/>
      <c r="J457" s="2"/>
      <c r="T457" s="2"/>
    </row>
    <row r="458" spans="2:20">
      <c r="B458" s="1"/>
      <c r="C458" s="4"/>
      <c r="D458" s="1"/>
      <c r="E458" s="1"/>
      <c r="F458" s="1"/>
      <c r="G458" s="1"/>
      <c r="J458" s="2"/>
      <c r="T458" s="2"/>
    </row>
    <row r="459" spans="2:20">
      <c r="B459" s="1"/>
      <c r="C459" s="4"/>
      <c r="D459" s="1"/>
      <c r="E459" s="1"/>
      <c r="F459" s="1"/>
      <c r="G459" s="1"/>
      <c r="J459" s="2"/>
      <c r="T459" s="2"/>
    </row>
    <row r="460" spans="2:20">
      <c r="B460" s="1"/>
      <c r="C460" s="4"/>
      <c r="D460" s="1"/>
      <c r="E460" s="1"/>
      <c r="F460" s="1"/>
      <c r="G460" s="1"/>
      <c r="J460" s="2"/>
      <c r="T460" s="2"/>
    </row>
    <row r="461" spans="2:20">
      <c r="B461" s="1"/>
      <c r="C461" s="4"/>
      <c r="D461" s="1"/>
      <c r="E461" s="1"/>
      <c r="F461" s="1"/>
      <c r="G461" s="1"/>
      <c r="J461" s="2"/>
      <c r="T461" s="2"/>
    </row>
    <row r="462" spans="2:20">
      <c r="B462" s="1"/>
      <c r="C462" s="4"/>
      <c r="D462" s="1"/>
      <c r="E462" s="1"/>
      <c r="F462" s="1"/>
      <c r="G462" s="1"/>
      <c r="J462" s="2"/>
      <c r="T462" s="2"/>
    </row>
    <row r="463" spans="2:20">
      <c r="B463" s="1"/>
      <c r="C463" s="4"/>
      <c r="D463" s="1"/>
      <c r="E463" s="1"/>
      <c r="F463" s="1"/>
      <c r="G463" s="1"/>
      <c r="J463" s="2"/>
      <c r="T463" s="2"/>
    </row>
    <row r="464" spans="2:20">
      <c r="B464" s="1"/>
      <c r="C464" s="4"/>
      <c r="D464" s="1"/>
      <c r="E464" s="1"/>
      <c r="F464" s="1"/>
      <c r="G464" s="1"/>
      <c r="J464" s="2"/>
      <c r="T464" s="2"/>
    </row>
    <row r="465" spans="2:20">
      <c r="B465" s="1"/>
      <c r="C465" s="4"/>
      <c r="D465" s="1"/>
      <c r="E465" s="1"/>
      <c r="F465" s="1"/>
      <c r="G465" s="1"/>
      <c r="J465" s="2"/>
      <c r="T465" s="2"/>
    </row>
    <row r="466" spans="2:20">
      <c r="B466" s="1"/>
      <c r="C466" s="4"/>
      <c r="D466" s="1"/>
      <c r="E466" s="1"/>
      <c r="F466" s="1"/>
      <c r="G466" s="1"/>
      <c r="J466" s="2"/>
      <c r="T466" s="2"/>
    </row>
    <row r="467" spans="2:20">
      <c r="B467" s="1"/>
      <c r="C467" s="4"/>
      <c r="D467" s="1"/>
      <c r="E467" s="1"/>
      <c r="F467" s="1"/>
      <c r="G467" s="1"/>
      <c r="J467" s="2"/>
      <c r="T467" s="2"/>
    </row>
    <row r="468" spans="2:20">
      <c r="B468" s="1"/>
      <c r="C468" s="4"/>
      <c r="D468" s="1"/>
      <c r="E468" s="1"/>
      <c r="F468" s="1"/>
      <c r="G468" s="1"/>
      <c r="J468" s="2"/>
      <c r="T468" s="2"/>
    </row>
    <row r="469" spans="2:20">
      <c r="B469" s="1"/>
      <c r="C469" s="4"/>
      <c r="D469" s="1"/>
      <c r="E469" s="1"/>
      <c r="F469" s="1"/>
      <c r="G469" s="1"/>
      <c r="J469" s="2"/>
      <c r="T469" s="2"/>
    </row>
    <row r="470" spans="2:20">
      <c r="B470" s="1"/>
      <c r="C470" s="4"/>
      <c r="D470" s="1"/>
      <c r="E470" s="1"/>
      <c r="F470" s="1"/>
      <c r="G470" s="1"/>
      <c r="J470" s="2"/>
      <c r="T470" s="2"/>
    </row>
    <row r="471" spans="2:20">
      <c r="B471" s="1"/>
      <c r="C471" s="4"/>
      <c r="D471" s="1"/>
      <c r="E471" s="1"/>
      <c r="F471" s="1"/>
      <c r="G471" s="1"/>
      <c r="J471" s="2"/>
      <c r="T471" s="2"/>
    </row>
    <row r="472" spans="2:20">
      <c r="B472" s="1"/>
      <c r="C472" s="4"/>
      <c r="D472" s="1"/>
      <c r="E472" s="1"/>
      <c r="F472" s="1"/>
      <c r="G472" s="1"/>
      <c r="J472" s="2"/>
      <c r="T472" s="2"/>
    </row>
    <row r="473" spans="2:20">
      <c r="B473" s="1"/>
      <c r="C473" s="4"/>
      <c r="D473" s="1"/>
      <c r="E473" s="1"/>
      <c r="F473" s="1"/>
      <c r="G473" s="1"/>
      <c r="J473" s="2"/>
      <c r="T473" s="2"/>
    </row>
    <row r="474" spans="2:20">
      <c r="B474" s="1"/>
      <c r="C474" s="4"/>
      <c r="D474" s="1"/>
      <c r="E474" s="1"/>
      <c r="F474" s="1"/>
      <c r="G474" s="1"/>
      <c r="J474" s="2"/>
      <c r="T474" s="2"/>
    </row>
    <row r="475" spans="2:20">
      <c r="B475" s="1"/>
      <c r="C475" s="4"/>
      <c r="D475" s="1"/>
      <c r="E475" s="1"/>
      <c r="F475" s="1"/>
      <c r="G475" s="1"/>
      <c r="J475" s="2"/>
      <c r="T475" s="2"/>
    </row>
    <row r="476" spans="2:20">
      <c r="B476" s="1"/>
      <c r="C476" s="4"/>
      <c r="D476" s="1"/>
      <c r="E476" s="1"/>
      <c r="F476" s="1"/>
      <c r="G476" s="1"/>
      <c r="J476" s="2"/>
      <c r="T476" s="2"/>
    </row>
    <row r="477" spans="2:20">
      <c r="B477" s="1"/>
      <c r="C477" s="4"/>
      <c r="D477" s="1"/>
      <c r="E477" s="1"/>
      <c r="F477" s="1"/>
      <c r="G477" s="1"/>
      <c r="J477" s="2"/>
      <c r="T477" s="2"/>
    </row>
    <row r="478" spans="2:20">
      <c r="B478" s="1"/>
      <c r="C478" s="4"/>
      <c r="D478" s="1"/>
      <c r="E478" s="1"/>
      <c r="F478" s="1"/>
      <c r="G478" s="1"/>
      <c r="J478" s="2"/>
      <c r="T478" s="2"/>
    </row>
    <row r="479" spans="2:20">
      <c r="B479" s="1"/>
      <c r="C479" s="4"/>
      <c r="D479" s="1"/>
      <c r="E479" s="1"/>
      <c r="F479" s="1"/>
      <c r="G479" s="1"/>
      <c r="J479" s="2"/>
      <c r="T479" s="2"/>
    </row>
    <row r="480" spans="2:20">
      <c r="B480" s="1"/>
      <c r="C480" s="4"/>
      <c r="D480" s="1"/>
      <c r="E480" s="1"/>
      <c r="F480" s="1"/>
      <c r="G480" s="1"/>
      <c r="J480" s="2"/>
      <c r="T480" s="2"/>
    </row>
    <row r="481" spans="2:20">
      <c r="B481" s="1"/>
      <c r="C481" s="4"/>
      <c r="D481" s="1"/>
      <c r="E481" s="1"/>
      <c r="F481" s="1"/>
      <c r="G481" s="1"/>
      <c r="J481" s="2"/>
      <c r="T481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F142-51D0-4B29-B4DE-3462DA36E3FC}">
  <dimension ref="A1:U30"/>
  <sheetViews>
    <sheetView workbookViewId="0">
      <selection activeCell="B2" sqref="B2"/>
    </sheetView>
  </sheetViews>
  <sheetFormatPr defaultRowHeight="15.75"/>
  <cols>
    <col min="14" max="14" width="11.875" bestFit="1" customWidth="1"/>
    <col min="17" max="17" width="19.125" bestFit="1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5" t="s">
        <v>7</v>
      </c>
      <c r="I1" s="5" t="s">
        <v>18</v>
      </c>
      <c r="J1" s="5" t="s">
        <v>8</v>
      </c>
      <c r="K1" t="s">
        <v>9</v>
      </c>
      <c r="L1" t="s">
        <v>10</v>
      </c>
      <c r="M1" t="s">
        <v>11</v>
      </c>
      <c r="N1" t="s">
        <v>12</v>
      </c>
      <c r="O1" t="s">
        <v>10</v>
      </c>
      <c r="P1" t="s">
        <v>11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</row>
    <row r="2" spans="1:21">
      <c r="A2">
        <v>1</v>
      </c>
      <c r="B2" s="1">
        <v>7.7817759511480613</v>
      </c>
      <c r="C2" s="4">
        <v>4.1833333333333336</v>
      </c>
      <c r="D2" s="1">
        <v>7.7817759511480613</v>
      </c>
      <c r="E2" s="1">
        <v>7.7817759511480613</v>
      </c>
      <c r="F2" s="1">
        <v>11.965109284481395</v>
      </c>
      <c r="G2">
        <v>0</v>
      </c>
      <c r="H2" s="1">
        <v>10.542150911576073</v>
      </c>
      <c r="I2" s="1">
        <f>SUM(G2:G30)</f>
        <v>97.308252395759609</v>
      </c>
      <c r="J2" s="1">
        <v>3.3554569791641247</v>
      </c>
      <c r="K2" s="2">
        <v>0</v>
      </c>
      <c r="L2">
        <v>1.7826086956521738</v>
      </c>
      <c r="M2" s="2">
        <v>4</v>
      </c>
      <c r="N2" s="1">
        <v>4.1833333333333336</v>
      </c>
      <c r="O2" s="1">
        <v>6.7974110021526313</v>
      </c>
      <c r="P2" s="1">
        <v>13.225484244909403</v>
      </c>
      <c r="Q2" s="3">
        <v>16.344827586206897</v>
      </c>
      <c r="R2">
        <v>0</v>
      </c>
      <c r="S2" s="2">
        <v>0</v>
      </c>
      <c r="T2">
        <v>0</v>
      </c>
      <c r="U2" s="2">
        <v>0</v>
      </c>
    </row>
    <row r="3" spans="1:21">
      <c r="A3">
        <v>2</v>
      </c>
      <c r="B3" s="1">
        <v>0.68528352523137714</v>
      </c>
      <c r="C3" s="4">
        <v>3.85</v>
      </c>
      <c r="D3" s="1">
        <v>8.467059476379438</v>
      </c>
      <c r="E3" s="1">
        <v>11.965109284481395</v>
      </c>
      <c r="F3" s="1">
        <v>15.815109284481395</v>
      </c>
      <c r="G3" s="1">
        <v>3.4980498081019569</v>
      </c>
      <c r="K3" s="2">
        <v>1</v>
      </c>
      <c r="L3">
        <v>23</v>
      </c>
      <c r="N3">
        <v>7.3480498081019565</v>
      </c>
      <c r="R3">
        <v>60</v>
      </c>
      <c r="S3" s="2">
        <v>16</v>
      </c>
      <c r="T3">
        <v>60</v>
      </c>
      <c r="U3" s="2">
        <v>15</v>
      </c>
    </row>
    <row r="4" spans="1:21">
      <c r="A4">
        <v>3</v>
      </c>
      <c r="B4" s="1">
        <v>1.5418511273400832</v>
      </c>
      <c r="C4" s="4">
        <v>4.3</v>
      </c>
      <c r="D4" s="1">
        <v>10.008910603719521</v>
      </c>
      <c r="E4" s="1">
        <v>15.815109284481395</v>
      </c>
      <c r="F4" s="1">
        <v>20.115109284481395</v>
      </c>
      <c r="G4" s="1">
        <v>5.8061986807618737</v>
      </c>
      <c r="K4" s="2">
        <v>2</v>
      </c>
      <c r="N4">
        <v>10.106198680761874</v>
      </c>
      <c r="R4">
        <v>120</v>
      </c>
      <c r="S4" s="2">
        <v>28</v>
      </c>
      <c r="T4">
        <v>120</v>
      </c>
      <c r="U4" s="2">
        <v>27</v>
      </c>
    </row>
    <row r="5" spans="1:21">
      <c r="A5">
        <v>4</v>
      </c>
      <c r="B5" s="1">
        <v>3.2407697233089037</v>
      </c>
      <c r="C5" s="4">
        <v>2.6666666666666665</v>
      </c>
      <c r="D5" s="1">
        <v>13.249680327028425</v>
      </c>
      <c r="E5" s="1">
        <v>20.115109284481395</v>
      </c>
      <c r="F5" s="1">
        <v>22.781775951148063</v>
      </c>
      <c r="G5" s="1">
        <v>6.8654289574529699</v>
      </c>
      <c r="K5" s="2">
        <v>2</v>
      </c>
      <c r="N5">
        <v>9.5320956241196377</v>
      </c>
      <c r="R5">
        <v>180</v>
      </c>
      <c r="S5" s="2">
        <v>29</v>
      </c>
      <c r="T5">
        <v>180</v>
      </c>
      <c r="U5" s="2">
        <v>29</v>
      </c>
    </row>
    <row r="6" spans="1:21">
      <c r="A6">
        <v>5</v>
      </c>
      <c r="B6" s="1">
        <v>0.319781941287823</v>
      </c>
      <c r="C6" s="4">
        <v>2.6666666666666665</v>
      </c>
      <c r="D6" s="1">
        <v>13.569462268316249</v>
      </c>
      <c r="E6" s="1">
        <v>22.781775951148063</v>
      </c>
      <c r="F6" s="1">
        <v>25.448442617814731</v>
      </c>
      <c r="G6" s="1">
        <v>9.2123136828318142</v>
      </c>
      <c r="K6" s="2">
        <v>3</v>
      </c>
      <c r="N6">
        <v>11.878980349498482</v>
      </c>
      <c r="R6">
        <v>240</v>
      </c>
      <c r="S6" s="2">
        <v>29</v>
      </c>
      <c r="T6">
        <v>240</v>
      </c>
      <c r="U6" s="2">
        <v>29</v>
      </c>
    </row>
    <row r="7" spans="1:21">
      <c r="A7">
        <v>6</v>
      </c>
      <c r="B7" s="1">
        <v>4.8547118822848647</v>
      </c>
      <c r="C7" s="4">
        <v>4.2666666666666666</v>
      </c>
      <c r="D7" s="1">
        <v>18.424174150601115</v>
      </c>
      <c r="E7" s="1">
        <v>25.448442617814731</v>
      </c>
      <c r="F7" s="1">
        <v>29.715109284481397</v>
      </c>
      <c r="G7" s="1">
        <v>7.0242684672136164</v>
      </c>
      <c r="K7" s="2">
        <v>3</v>
      </c>
      <c r="N7">
        <v>11.290935133880282</v>
      </c>
      <c r="R7">
        <v>300</v>
      </c>
      <c r="S7" s="2">
        <v>29</v>
      </c>
      <c r="T7">
        <v>300</v>
      </c>
      <c r="U7" s="2">
        <v>29</v>
      </c>
    </row>
    <row r="8" spans="1:21">
      <c r="A8">
        <v>7</v>
      </c>
      <c r="B8" s="1">
        <v>4.1823993601652152</v>
      </c>
      <c r="C8" s="4">
        <v>3.65</v>
      </c>
      <c r="D8" s="1">
        <v>22.606573510766331</v>
      </c>
      <c r="E8" s="1">
        <v>29.715109284481397</v>
      </c>
      <c r="F8" s="1">
        <v>33.365109284481399</v>
      </c>
      <c r="G8" s="1">
        <v>7.1085357737150652</v>
      </c>
      <c r="K8" s="2">
        <v>3</v>
      </c>
      <c r="N8">
        <v>10.758535773715067</v>
      </c>
      <c r="R8">
        <v>360</v>
      </c>
      <c r="S8" s="2">
        <v>29</v>
      </c>
      <c r="T8">
        <v>360</v>
      </c>
      <c r="U8" s="2">
        <v>29</v>
      </c>
    </row>
    <row r="9" spans="1:21">
      <c r="A9">
        <v>8</v>
      </c>
      <c r="B9" s="1">
        <v>0.28353025624156586</v>
      </c>
      <c r="C9" s="4">
        <v>2.5666666666666669</v>
      </c>
      <c r="D9" s="1">
        <v>22.890103767007897</v>
      </c>
      <c r="E9" s="1">
        <v>33.365109284481399</v>
      </c>
      <c r="F9" s="1">
        <v>35.931775951148069</v>
      </c>
      <c r="G9" s="1">
        <v>10.475005517473502</v>
      </c>
      <c r="K9" s="2">
        <v>3</v>
      </c>
      <c r="N9">
        <v>13.041672184140172</v>
      </c>
      <c r="R9">
        <v>420</v>
      </c>
      <c r="S9" s="2">
        <v>29</v>
      </c>
      <c r="T9">
        <v>420</v>
      </c>
      <c r="U9" s="2">
        <v>29</v>
      </c>
    </row>
    <row r="10" spans="1:21">
      <c r="A10">
        <v>9</v>
      </c>
      <c r="B10" s="1">
        <v>2.4995212725641003</v>
      </c>
      <c r="C10" s="4">
        <v>2.6833333333333331</v>
      </c>
      <c r="D10" s="1">
        <v>25.389625039571996</v>
      </c>
      <c r="E10" s="1">
        <v>35.931775951148069</v>
      </c>
      <c r="F10" s="1">
        <v>38.615109284481399</v>
      </c>
      <c r="G10" s="1">
        <v>10.542150911576073</v>
      </c>
      <c r="K10" s="2">
        <v>4</v>
      </c>
      <c r="N10">
        <v>13.225484244909403</v>
      </c>
      <c r="R10">
        <v>480</v>
      </c>
      <c r="S10" s="2">
        <v>29</v>
      </c>
      <c r="T10">
        <v>480</v>
      </c>
      <c r="U10" s="2">
        <v>29</v>
      </c>
    </row>
    <row r="11" spans="1:21">
      <c r="A11">
        <v>10</v>
      </c>
      <c r="B11" s="1">
        <v>10.132047170433014</v>
      </c>
      <c r="C11" s="4">
        <v>3.0666666666666669</v>
      </c>
      <c r="D11" s="1">
        <v>35.521672210005008</v>
      </c>
      <c r="E11" s="1">
        <v>38.615109284481399</v>
      </c>
      <c r="F11" s="1">
        <v>41.681775951148069</v>
      </c>
      <c r="G11" s="1">
        <v>3.093437074476391</v>
      </c>
      <c r="K11" s="2">
        <v>2</v>
      </c>
      <c r="N11" s="1">
        <v>6.160103741143061</v>
      </c>
      <c r="R11">
        <v>540</v>
      </c>
      <c r="S11" s="2">
        <v>29</v>
      </c>
      <c r="T11">
        <v>540</v>
      </c>
      <c r="U11" s="2">
        <v>29</v>
      </c>
    </row>
    <row r="12" spans="1:21">
      <c r="A12">
        <v>11</v>
      </c>
      <c r="B12" s="1">
        <v>3.3329424075561747</v>
      </c>
      <c r="C12" s="4">
        <v>2.8833333333333333</v>
      </c>
      <c r="D12" s="1">
        <v>38.854614617561182</v>
      </c>
      <c r="E12" s="1">
        <v>41.681775951148069</v>
      </c>
      <c r="F12" s="1">
        <v>44.565109284481402</v>
      </c>
      <c r="G12" s="1">
        <v>2.8271613335868864</v>
      </c>
      <c r="K12" s="2">
        <v>1</v>
      </c>
      <c r="N12" s="1">
        <v>5.7104946669202192</v>
      </c>
      <c r="R12">
        <v>600</v>
      </c>
      <c r="S12" s="2">
        <v>29</v>
      </c>
      <c r="T12">
        <v>600</v>
      </c>
      <c r="U12" s="2">
        <v>29</v>
      </c>
    </row>
    <row r="13" spans="1:21">
      <c r="A13">
        <v>12</v>
      </c>
      <c r="B13" s="1">
        <v>5.157947586059068</v>
      </c>
      <c r="C13" s="4">
        <v>2.7166666666666668</v>
      </c>
      <c r="D13" s="1">
        <v>44.012562203620249</v>
      </c>
      <c r="E13" s="1">
        <v>44.565109284481402</v>
      </c>
      <c r="F13" s="1">
        <v>47.28177595114807</v>
      </c>
      <c r="G13" s="1">
        <v>0.55254708086115301</v>
      </c>
      <c r="K13" s="2">
        <v>1</v>
      </c>
      <c r="N13">
        <v>3.2692137475278216</v>
      </c>
      <c r="R13">
        <v>660</v>
      </c>
      <c r="S13" s="2">
        <v>29</v>
      </c>
      <c r="T13">
        <v>660</v>
      </c>
      <c r="U13" s="2">
        <v>29</v>
      </c>
    </row>
    <row r="14" spans="1:21">
      <c r="A14">
        <v>13</v>
      </c>
      <c r="B14" s="1">
        <v>5.8615889773035237</v>
      </c>
      <c r="C14" s="4">
        <v>3.3833333333333333</v>
      </c>
      <c r="D14" s="1">
        <v>49.874151180923775</v>
      </c>
      <c r="E14" s="1">
        <v>49.874151180923775</v>
      </c>
      <c r="F14" s="1">
        <v>53.257484514257108</v>
      </c>
      <c r="G14" s="1">
        <v>0</v>
      </c>
      <c r="K14" s="2">
        <v>0</v>
      </c>
      <c r="N14">
        <v>3.3833333333333329</v>
      </c>
      <c r="R14">
        <v>720</v>
      </c>
      <c r="S14" s="2">
        <v>29</v>
      </c>
      <c r="T14">
        <v>720</v>
      </c>
      <c r="U14" s="2">
        <v>29</v>
      </c>
    </row>
    <row r="15" spans="1:21">
      <c r="A15">
        <v>14</v>
      </c>
      <c r="B15" s="1">
        <v>2.4330693553436684</v>
      </c>
      <c r="C15" s="4">
        <v>4.1333333333333337</v>
      </c>
      <c r="D15" s="1">
        <v>52.307220536267444</v>
      </c>
      <c r="E15" s="1">
        <v>53.257484514257108</v>
      </c>
      <c r="F15" s="1">
        <v>57.390817847590441</v>
      </c>
      <c r="G15" s="1">
        <v>0.950263977989664</v>
      </c>
      <c r="K15" s="2">
        <v>1</v>
      </c>
      <c r="N15">
        <v>5.0835973113229969</v>
      </c>
      <c r="R15">
        <v>780</v>
      </c>
      <c r="S15" s="2">
        <v>29</v>
      </c>
      <c r="T15">
        <v>780</v>
      </c>
      <c r="U15" s="2">
        <v>29</v>
      </c>
    </row>
    <row r="16" spans="1:21">
      <c r="A16">
        <v>15</v>
      </c>
      <c r="B16" s="1">
        <v>2.0047511581965534</v>
      </c>
      <c r="C16" s="4">
        <v>2.5666666666666669</v>
      </c>
      <c r="D16" s="1">
        <v>54.311971694463999</v>
      </c>
      <c r="E16" s="1">
        <v>57.390817847590441</v>
      </c>
      <c r="F16" s="1">
        <v>59.957484514257111</v>
      </c>
      <c r="G16" s="1">
        <v>3.0788461531264417</v>
      </c>
      <c r="K16" s="2">
        <v>1</v>
      </c>
      <c r="N16">
        <v>5.6455128197931117</v>
      </c>
      <c r="R16">
        <v>840</v>
      </c>
      <c r="S16" s="2">
        <v>29</v>
      </c>
      <c r="T16">
        <v>840</v>
      </c>
      <c r="U16" s="2">
        <v>29</v>
      </c>
    </row>
    <row r="17" spans="1:21">
      <c r="A17">
        <v>16</v>
      </c>
      <c r="B17" s="1">
        <v>1.3726094582536637</v>
      </c>
      <c r="C17" s="4">
        <v>4.0999999999999996</v>
      </c>
      <c r="D17" s="1">
        <v>55.684581152717662</v>
      </c>
      <c r="E17" s="1">
        <v>59.957484514257111</v>
      </c>
      <c r="F17" s="1">
        <v>64.057484514257112</v>
      </c>
      <c r="G17" s="1">
        <v>4.2729033615394485</v>
      </c>
      <c r="K17" s="2">
        <v>2</v>
      </c>
      <c r="N17">
        <v>8.3729033615394499</v>
      </c>
      <c r="R17">
        <v>900</v>
      </c>
      <c r="S17" s="2">
        <v>29</v>
      </c>
      <c r="T17">
        <v>900</v>
      </c>
      <c r="U17" s="2">
        <v>29</v>
      </c>
    </row>
    <row r="18" spans="1:21">
      <c r="A18">
        <v>17</v>
      </c>
      <c r="B18" s="1">
        <v>12.415729097678632</v>
      </c>
      <c r="C18" s="4">
        <v>3.3166666666666669</v>
      </c>
      <c r="D18" s="1">
        <v>68.100310250396291</v>
      </c>
      <c r="E18" s="1">
        <v>68.100310250396291</v>
      </c>
      <c r="F18" s="1">
        <v>71.416976917062954</v>
      </c>
      <c r="G18" s="1">
        <v>0</v>
      </c>
      <c r="K18" s="2">
        <v>0</v>
      </c>
      <c r="N18">
        <v>3.3166666666666629</v>
      </c>
      <c r="R18">
        <v>960</v>
      </c>
      <c r="S18" s="2">
        <v>29</v>
      </c>
      <c r="T18">
        <v>960</v>
      </c>
      <c r="U18" s="2">
        <v>29</v>
      </c>
    </row>
    <row r="19" spans="1:21">
      <c r="A19">
        <v>18</v>
      </c>
      <c r="B19" s="1">
        <v>2.7518744289283923</v>
      </c>
      <c r="C19" s="4">
        <v>3.9333333333333331</v>
      </c>
      <c r="D19" s="1">
        <v>70.852184679324679</v>
      </c>
      <c r="E19" s="1">
        <v>71.416976917062954</v>
      </c>
      <c r="F19" s="1">
        <v>75.350310250396291</v>
      </c>
      <c r="G19" s="1">
        <v>0.56479223773827414</v>
      </c>
      <c r="K19" s="2">
        <v>1</v>
      </c>
      <c r="N19">
        <v>4.4981255710716113</v>
      </c>
      <c r="R19">
        <v>1020</v>
      </c>
      <c r="S19" s="2">
        <v>29</v>
      </c>
      <c r="T19">
        <v>1020</v>
      </c>
      <c r="U19" s="2">
        <v>29</v>
      </c>
    </row>
    <row r="20" spans="1:21">
      <c r="A20">
        <v>19</v>
      </c>
      <c r="B20" s="1">
        <v>2.263620034545359</v>
      </c>
      <c r="C20" s="4">
        <v>3.7666666666666666</v>
      </c>
      <c r="D20" s="1">
        <v>73.115804713870034</v>
      </c>
      <c r="E20" s="1">
        <v>75.350310250396291</v>
      </c>
      <c r="F20" s="1">
        <v>79.116976917062956</v>
      </c>
      <c r="G20" s="1">
        <v>2.2345055365262567</v>
      </c>
      <c r="K20" s="2">
        <v>1</v>
      </c>
      <c r="N20">
        <v>6.0011722031929224</v>
      </c>
      <c r="R20">
        <v>1080</v>
      </c>
      <c r="S20" s="2">
        <v>29</v>
      </c>
      <c r="T20">
        <v>1080</v>
      </c>
      <c r="U20" s="2">
        <v>29</v>
      </c>
    </row>
    <row r="21" spans="1:21">
      <c r="A21">
        <v>20</v>
      </c>
      <c r="B21" s="1">
        <v>3.4815185018978134</v>
      </c>
      <c r="C21" s="4">
        <v>2.5333333333333332</v>
      </c>
      <c r="D21" s="1">
        <v>76.597323215767844</v>
      </c>
      <c r="E21" s="1">
        <v>79.116976917062956</v>
      </c>
      <c r="F21" s="1">
        <v>81.650310250396288</v>
      </c>
      <c r="G21" s="1">
        <v>2.5196537012951126</v>
      </c>
      <c r="K21" s="2">
        <v>1</v>
      </c>
      <c r="N21">
        <v>5.052987034628444</v>
      </c>
      <c r="R21">
        <v>1140</v>
      </c>
      <c r="S21" s="2">
        <v>29</v>
      </c>
      <c r="T21">
        <v>1140</v>
      </c>
      <c r="U21" s="2">
        <v>29</v>
      </c>
    </row>
    <row r="22" spans="1:21">
      <c r="A22">
        <v>21</v>
      </c>
      <c r="B22" s="1">
        <v>0.93101260108917383</v>
      </c>
      <c r="C22" s="4">
        <v>3.25</v>
      </c>
      <c r="D22" s="1">
        <v>77.528335816857023</v>
      </c>
      <c r="E22" s="1">
        <v>81.650310250396288</v>
      </c>
      <c r="F22" s="1">
        <v>84.900310250396288</v>
      </c>
      <c r="G22" s="1">
        <v>4.1219744335392647</v>
      </c>
      <c r="K22" s="2">
        <v>2</v>
      </c>
      <c r="N22">
        <v>7.3719744335392647</v>
      </c>
      <c r="R22">
        <v>1200</v>
      </c>
      <c r="S22" s="2">
        <v>29</v>
      </c>
      <c r="T22">
        <v>1200</v>
      </c>
      <c r="U22" s="2">
        <v>29</v>
      </c>
    </row>
    <row r="23" spans="1:21">
      <c r="A23">
        <v>22</v>
      </c>
      <c r="B23" s="1">
        <v>4.0948742034452152</v>
      </c>
      <c r="C23" s="4">
        <v>4.0999999999999996</v>
      </c>
      <c r="D23" s="1">
        <v>81.623210020302238</v>
      </c>
      <c r="E23" s="1">
        <v>84.900310250396288</v>
      </c>
      <c r="F23" s="1">
        <v>89.000310250396282</v>
      </c>
      <c r="G23" s="1">
        <v>3.2771002300940495</v>
      </c>
      <c r="K23" s="2">
        <v>2</v>
      </c>
      <c r="N23">
        <v>7.3771002300940438</v>
      </c>
      <c r="R23">
        <v>1260</v>
      </c>
      <c r="S23" s="2">
        <v>29</v>
      </c>
      <c r="T23">
        <v>1260</v>
      </c>
      <c r="U23" s="2">
        <v>29</v>
      </c>
    </row>
    <row r="24" spans="1:21">
      <c r="A24">
        <v>23</v>
      </c>
      <c r="B24" s="1">
        <v>15.335070372895755</v>
      </c>
      <c r="C24" s="4">
        <v>3.4166666666666665</v>
      </c>
      <c r="D24" s="1">
        <v>96.958280393197995</v>
      </c>
      <c r="E24" s="1">
        <v>96.958280393197995</v>
      </c>
      <c r="F24" s="1">
        <v>100.37494705986467</v>
      </c>
      <c r="G24" s="1">
        <v>0</v>
      </c>
      <c r="K24" s="2">
        <v>0</v>
      </c>
      <c r="N24">
        <v>3.4166666666666714</v>
      </c>
      <c r="R24">
        <v>1320</v>
      </c>
      <c r="S24" s="2">
        <v>29</v>
      </c>
      <c r="T24">
        <v>1320</v>
      </c>
      <c r="U24" s="2">
        <v>29</v>
      </c>
    </row>
    <row r="25" spans="1:21">
      <c r="A25">
        <v>24</v>
      </c>
      <c r="B25" s="1">
        <v>7.5112090296398704E-2</v>
      </c>
      <c r="C25" s="4">
        <v>2.5166666666666666</v>
      </c>
      <c r="D25" s="1">
        <v>97.033392483494396</v>
      </c>
      <c r="E25" s="1">
        <v>100.37494705986467</v>
      </c>
      <c r="F25" s="1">
        <v>102.89161372653133</v>
      </c>
      <c r="G25" s="1">
        <v>3.341554576370271</v>
      </c>
      <c r="K25" s="2">
        <v>1</v>
      </c>
      <c r="N25">
        <v>5.8582212430369367</v>
      </c>
      <c r="R25">
        <v>1380</v>
      </c>
      <c r="S25" s="2">
        <v>29</v>
      </c>
      <c r="T25">
        <v>1380</v>
      </c>
      <c r="U25" s="2">
        <v>29</v>
      </c>
    </row>
    <row r="26" spans="1:21">
      <c r="A26">
        <v>25</v>
      </c>
      <c r="B26" s="1">
        <v>8.6505060066049282</v>
      </c>
      <c r="C26" s="4">
        <v>4.4000000000000004</v>
      </c>
      <c r="D26" s="1">
        <v>105.68389849009932</v>
      </c>
      <c r="E26" s="1">
        <v>105.68389849009932</v>
      </c>
      <c r="F26" s="1">
        <v>110.08389849009933</v>
      </c>
      <c r="G26" s="1">
        <v>0</v>
      </c>
      <c r="K26" s="2">
        <v>0</v>
      </c>
      <c r="N26">
        <v>4.4000000000000057</v>
      </c>
      <c r="R26">
        <v>1440</v>
      </c>
      <c r="S26" s="2">
        <v>29</v>
      </c>
      <c r="T26">
        <v>1440</v>
      </c>
      <c r="U26" s="2">
        <v>29</v>
      </c>
    </row>
    <row r="27" spans="1:21">
      <c r="A27">
        <v>26</v>
      </c>
      <c r="B27" s="1">
        <v>3.4037586604256553</v>
      </c>
      <c r="C27" s="4">
        <v>2.75</v>
      </c>
      <c r="D27" s="1">
        <v>109.08765715052498</v>
      </c>
      <c r="E27" s="1">
        <v>110.08389849009933</v>
      </c>
      <c r="F27" s="1">
        <v>112.83389849009933</v>
      </c>
      <c r="G27" s="1">
        <v>0.9962413395743539</v>
      </c>
      <c r="K27" s="2">
        <v>1</v>
      </c>
      <c r="N27">
        <v>3.7462413395743539</v>
      </c>
      <c r="R27">
        <v>1500</v>
      </c>
      <c r="S27" s="2">
        <v>29</v>
      </c>
      <c r="T27">
        <v>1500</v>
      </c>
      <c r="U27" s="2">
        <v>29</v>
      </c>
    </row>
    <row r="28" spans="1:21">
      <c r="A28">
        <v>27</v>
      </c>
      <c r="B28" s="1">
        <v>0.24010652805578958</v>
      </c>
      <c r="C28" s="4">
        <v>4.416666666666667</v>
      </c>
      <c r="D28" s="1">
        <v>109.32776367858077</v>
      </c>
      <c r="E28" s="1">
        <v>112.83389849009933</v>
      </c>
      <c r="F28" s="1">
        <v>117.250565156766</v>
      </c>
      <c r="G28" s="1">
        <v>3.5061348115185638</v>
      </c>
      <c r="K28" s="2">
        <v>2</v>
      </c>
      <c r="N28">
        <v>7.9228014781852352</v>
      </c>
      <c r="R28">
        <v>1560</v>
      </c>
      <c r="S28" s="2">
        <v>29</v>
      </c>
      <c r="T28">
        <v>1560</v>
      </c>
      <c r="U28" s="2">
        <v>29</v>
      </c>
    </row>
    <row r="29" spans="1:21">
      <c r="A29">
        <v>28</v>
      </c>
      <c r="B29" s="1">
        <v>10.450246275026016</v>
      </c>
      <c r="C29" s="4">
        <v>4.083333333333333</v>
      </c>
      <c r="D29" s="1">
        <v>119.77800995360678</v>
      </c>
      <c r="E29" s="1">
        <v>119.77800995360678</v>
      </c>
      <c r="F29" s="1">
        <v>123.86134328694011</v>
      </c>
      <c r="G29" s="1">
        <v>0</v>
      </c>
      <c r="K29" s="2">
        <v>0</v>
      </c>
      <c r="N29">
        <v>4.0833333333333286</v>
      </c>
      <c r="R29">
        <v>1620</v>
      </c>
      <c r="S29" s="2">
        <v>29</v>
      </c>
      <c r="T29">
        <v>1620</v>
      </c>
      <c r="U29" s="2">
        <v>29</v>
      </c>
    </row>
    <row r="30" spans="1:21">
      <c r="A30">
        <v>29</v>
      </c>
      <c r="B30">
        <v>2.6441485849367301</v>
      </c>
      <c r="C30">
        <v>3.65</v>
      </c>
      <c r="D30">
        <v>122.42215853854351</v>
      </c>
      <c r="E30">
        <v>123.86134328694011</v>
      </c>
      <c r="F30">
        <v>127.51134328694012</v>
      </c>
      <c r="G30">
        <v>1.4391847483965989</v>
      </c>
      <c r="K30">
        <v>1</v>
      </c>
      <c r="N30">
        <v>5.0891847483966046</v>
      </c>
      <c r="R30">
        <v>1680</v>
      </c>
      <c r="S30">
        <v>29</v>
      </c>
      <c r="T30">
        <v>1680</v>
      </c>
      <c r="U30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UniformST</vt:lpstr>
      <vt:lpstr>Sheet1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Zhu</dc:creator>
  <cp:lastModifiedBy>Mohamed Jatit</cp:lastModifiedBy>
  <dcterms:created xsi:type="dcterms:W3CDTF">2014-09-06T00:54:02Z</dcterms:created>
  <dcterms:modified xsi:type="dcterms:W3CDTF">2018-11-06T18:22:09Z</dcterms:modified>
</cp:coreProperties>
</file>